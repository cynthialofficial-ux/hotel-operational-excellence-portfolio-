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a8980162cb4f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_Me" sheetId="1" r:id="Rc6bdcd2fe389496d"/>
    <x:sheet xmlns:r="http://schemas.openxmlformats.org/officeDocument/2006/relationships" name="01_Inputs" sheetId="2" r:id="R6be913f5cb7343d4"/>
    <x:sheet xmlns:r="http://schemas.openxmlformats.org/officeDocument/2006/relationships" name="02_PnL_Diagnostic" sheetId="3" r:id="Rca18d478814041f8"/>
    <x:sheet xmlns:r="http://schemas.openxmlformats.org/officeDocument/2006/relationships" name="03_Revenue_Bridge" sheetId="4" r:id="R4435a8ef734541a7"/>
    <x:sheet xmlns:r="http://schemas.openxmlformats.org/officeDocument/2006/relationships" name="04_Cost_Bridges" sheetId="5" r:id="R4a666d02098e4aaf"/>
    <x:sheet xmlns:r="http://schemas.openxmlformats.org/officeDocument/2006/relationships" name="05_Scenarios" sheetId="6" r:id="Rabe95959be8a42c1"/>
    <x:sheet xmlns:r="http://schemas.openxmlformats.org/officeDocument/2006/relationships" name="06_Business_Case" sheetId="7" r:id="R66d64146248f42eb"/>
    <x:sheet xmlns:r="http://schemas.openxmlformats.org/officeDocument/2006/relationships" name="07_Benefits_Gov" sheetId="8" r:id="R88893d6a23f641cf"/>
    <x:sheet xmlns:r="http://schemas.openxmlformats.org/officeDocument/2006/relationships" name="08_Executive_Summary" sheetId="9" r:id="R4757fe23b61643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;[Red](#,##0);-"/>
    <x:numFmt numFmtId="201" formatCode="0.0%;[Red](0.0%);-"/>
    <x:numFmt numFmtId="202" formatCode="0.0"/>
    <x:numFmt numFmtId="203" formatCode="@"/>
    <x:numFmt numFmtId="204" formatCode="0.0 &quot;months&quot;"/>
  </x:numFmts>
  <x:fonts count="23">
    <x:font>
      <x:sz val="11"/>
      <x:name val="Carlito"/>
    </x:font>
    <x:font>
      <x:b/>
      <x:sz val="16"/>
      <x:color rgb="FF222222"/>
      <x:name val="Carlito"/>
    </x:font>
    <x:font>
      <x:i/>
      <x:sz val="9"/>
      <x:color rgb="FF666666"/>
      <x:name val="Carlito"/>
    </x:font>
    <x:font>
      <x:b/>
      <x:sz val="10"/>
      <x:color rgb="FFFFFFFF"/>
      <x:name val="Carlito"/>
    </x:font>
    <x:font>
      <x:b/>
      <x:sz val="11"/>
      <x:color rgb="FF222222"/>
      <x:name val="Carlito"/>
    </x:font>
    <x:font>
      <x:sz val="11"/>
      <x:color rgb="FF0000FF"/>
      <x:name val="Carlito"/>
    </x:font>
    <x:font>
      <x:sz val="11"/>
      <x:color rgb="FF222222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1"/>
      <x:color rgb="FF6F1D32"/>
      <x:name val="Carlito"/>
    </x:font>
    <x:font>
      <x:b/>
      <x:sz val="16"/>
      <x:color rgb="FF6F1D32"/>
      <x:name val="Carlito"/>
    </x:font>
    <x:font>
      <x:b/>
      <x:sz val="16"/>
      <x:color rgb="FF222222"/>
      <x:name val="Arial"/>
    </x:font>
    <x:font>
      <x:sz val="11"/>
      <x:name val="Arial"/>
    </x:font>
    <x:font>
      <x:i/>
      <x:sz val="9"/>
      <x:color rgb="FF666666"/>
      <x:name val="Arial"/>
    </x:font>
    <x:font>
      <x:b/>
      <x:sz val="10"/>
      <x:color rgb="FFFFFFFF"/>
      <x:name val="Arial"/>
    </x:font>
    <x:font>
      <x:b/>
      <x:sz val="11"/>
      <x:color rgb="FF222222"/>
      <x:name val="Arial"/>
    </x:font>
    <x:font>
      <x:sz val="11"/>
      <x:color rgb="FF0000FF"/>
      <x:name val="Arial"/>
    </x:font>
    <x:font>
      <x:sz val="11"/>
      <x:color rgb="FF222222"/>
      <x:name val="Arial"/>
    </x:font>
    <x:font>
      <x:sz val="11"/>
      <x:color rgb="FF008000"/>
      <x:name val="Arial"/>
    </x:font>
    <x:font>
      <x:b/>
      <x:sz val="11"/>
      <x:color rgb="FF008000"/>
      <x:name val="Arial"/>
    </x:font>
    <x:font>
      <x:b/>
      <x:sz val="11"/>
      <x:color rgb="FF6F1D32"/>
      <x:name val="Arial"/>
    </x:font>
    <x:font>
      <x:b/>
      <x:sz val="16"/>
      <x:color rgb="FF6F1D32"/>
      <x:name val="Arial"/>
    </x:font>
    <x:font>
      <x:sz val="1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6F1D32"/>
      </x:patternFill>
    </x:fill>
    <x:fill>
      <x:patternFill patternType="solid">
        <x:fgColor rgb="FFF1E7EA"/>
      </x:patternFill>
    </x:fill>
    <x:fill>
      <x:patternFill patternType="solid">
        <x:fgColor rgb="FFF7ECEF"/>
      </x:patternFill>
    </x:fill>
    <x:fill>
      <x:patternFill patternType="solid">
        <x:fgColor rgb="FFFBF5F7"/>
      </x:patternFill>
    </x:fill>
  </x:fills>
  <x:borders count="2">
    <x:border/>
    <x:border/>
  </x:borders>
  <x:cellStyleXfs count="1">
    <x:xf numFmtId="0" fontId="0" fillId="0" borderId="0"/>
  </x:cellStyleXfs>
  <x:cellXfs count="17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1" xfId="0" applyNumberFormat="1" applyFont="1" applyFill="1" applyBorder="1"/>
    <x:xf numFmtId="200" fontId="4" fillId="0" borderId="1" xfId="0" applyNumberFormat="1" applyFont="1" applyFill="1" applyBorder="1"/>
    <x:xf numFmtId="201" fontId="4" fillId="0" borderId="0" xfId="0" applyNumberFormat="1" applyFont="1" applyFill="1" applyBorder="1"/>
    <x:xf numFmtId="201" fontId="4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0" fontId="8" fillId="0" borderId="0" xfId="0" applyNumberFormat="1" applyFont="1" applyFill="1" applyBorder="1"/>
    <x:xf numFmtId="200" fontId="8" fillId="0" borderId="0" xfId="0" applyNumberFormat="1" applyFont="1" applyFill="1" applyBorder="1"/>
    <x:xf numFmtId="0" fontId="7" fillId="0" borderId="1" xfId="0" applyNumberFormat="1" applyFont="1" applyFill="1" applyBorder="1"/>
    <x:xf numFmtId="200" fontId="7" fillId="0" borderId="1" xfId="0" applyNumberFormat="1" applyFont="1" applyFill="1" applyBorder="1"/>
    <x:xf numFmtId="201" fontId="7" fillId="0" borderId="1" xfId="0" applyNumberFormat="1" applyFont="1" applyFill="1" applyBorder="1"/>
    <x:xf numFmtId="0" fontId="8" fillId="0" borderId="1" xfId="0" applyNumberFormat="1" applyFont="1" applyFill="1" applyBorder="1"/>
    <x:xf numFmtId="200" fontId="8" fillId="0" borderId="1" xfId="0" applyNumberFormat="1" applyFont="1" applyFill="1" applyBorder="1"/>
    <x:xf numFmtId="202" fontId="7" fillId="0" borderId="0" xfId="0" applyNumberFormat="1" applyFont="1" applyFill="1" applyBorder="1"/>
    <x:xf numFmtId="202" fontId="7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3" fontId="6" fillId="0" borderId="0" xfId="0" applyNumberFormat="1" applyFont="1" applyFill="1" applyBorder="1"/>
    <x:xf numFmtId="203" fontId="6" fillId="0" borderId="1" xfId="0" applyNumberFormat="1" applyFont="1" applyFill="1" applyBorder="1"/>
    <x:xf numFmtId="204" fontId="6" fillId="0" borderId="0" xfId="0" applyNumberFormat="1" applyFont="1" applyFill="1" applyBorder="1"/>
    <x:xf numFmtId="204" fontId="6" fillId="0" borderId="1" xfId="0" applyNumberFormat="1" applyFont="1" applyFill="1" applyBorder="1"/>
    <x:xf numFmtId="203" fontId="7" fillId="0" borderId="0" xfId="0" applyNumberFormat="1" applyFont="1" applyFill="1" applyBorder="1"/>
    <x:xf numFmtId="203" fontId="7" fillId="0" borderId="1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0" fillId="5" borderId="1" xfId="0" applyNumberFormat="1" applyFont="1" applyFill="1" applyBorder="1"/>
    <x:xf numFmtId="0" fontId="9" fillId="5" borderId="1" xfId="0" applyNumberFormat="1" applyFont="1" applyFill="1" applyBorder="1"/>
    <x:xf numFmtId="0" fontId="10" fillId="0" borderId="0" xfId="0" applyNumberFormat="1" applyFont="1" applyFill="1" applyBorder="1"/>
    <x:xf numFmtId="0" fontId="10" fillId="0" borderId="1" xfId="0" applyNumberFormat="1" applyFont="1" applyFill="1" applyBorder="1"/>
    <x:xf numFmtId="200" fontId="10" fillId="0" borderId="0" xfId="0" applyNumberFormat="1" applyFont="1" applyFill="1" applyBorder="1"/>
    <x:xf numFmtId="200" fontId="10" fillId="0" borderId="1" xfId="0" applyNumberFormat="1" applyFont="1" applyFill="1" applyBorder="1"/>
    <x:xf numFmtId="200" fontId="10" fillId="0" borderId="0" xfId="0" applyNumberFormat="1" applyFont="1" applyFill="1" applyBorder="1" applyAlignment="1">
      <x:alignment horizontal="center"/>
    </x:xf>
    <x:xf numFmtId="200" fontId="10" fillId="0" borderId="1" xfId="0" applyNumberFormat="1" applyFont="1" applyFill="1" applyBorder="1" applyAlignment="1">
      <x:alignment horizontal="center"/>
    </x:xf>
    <x:xf numFmtId="200" fontId="10" fillId="0" borderId="0" xfId="0" applyNumberFormat="1" applyFont="1" applyFill="1" applyBorder="1" applyAlignment="1">
      <x:alignment horizontal="center" vertical="center"/>
    </x:xf>
    <x:xf numFmtId="200" fontId="10" fillId="0" borderId="1" xfId="0" applyNumberFormat="1" applyFont="1" applyFill="1" applyBorder="1" applyAlignment="1">
      <x:alignment horizontal="center" vertical="center"/>
    </x:xf>
    <x:xf numFmtId="201" fontId="10" fillId="0" borderId="0" xfId="0" applyNumberFormat="1" applyFont="1" applyFill="1" applyBorder="1"/>
    <x:xf numFmtId="201" fontId="10" fillId="0" borderId="1" xfId="0" applyNumberFormat="1" applyFont="1" applyFill="1" applyBorder="1"/>
    <x:xf numFmtId="201" fontId="10" fillId="0" borderId="0" xfId="0" applyNumberFormat="1" applyFont="1" applyFill="1" applyBorder="1" applyAlignment="1">
      <x:alignment horizontal="center"/>
    </x:xf>
    <x:xf numFmtId="201" fontId="10" fillId="0" borderId="1" xfId="0" applyNumberFormat="1" applyFont="1" applyFill="1" applyBorder="1" applyAlignment="1">
      <x:alignment horizontal="center"/>
    </x:xf>
    <x:xf numFmtId="201" fontId="10" fillId="0" borderId="0" xfId="0" applyNumberFormat="1" applyFont="1" applyFill="1" applyBorder="1" applyAlignment="1">
      <x:alignment horizontal="center" vertical="center"/>
    </x:xf>
    <x:xf numFmtId="201" fontId="10" fillId="0" borderId="1" xfId="0" applyNumberFormat="1" applyFont="1" applyFill="1" applyBorder="1" applyAlignment="1">
      <x:alignment horizontal="center" vertical="center"/>
    </x:xf>
    <x:xf numFmtId="202" fontId="10" fillId="0" borderId="0" xfId="0" applyNumberFormat="1" applyFont="1" applyFill="1" applyBorder="1"/>
    <x:xf numFmtId="202" fontId="10" fillId="0" borderId="1" xfId="0" applyNumberFormat="1" applyFont="1" applyFill="1" applyBorder="1"/>
    <x:xf numFmtId="202" fontId="10" fillId="0" borderId="0" xfId="0" applyNumberFormat="1" applyFont="1" applyFill="1" applyBorder="1" applyAlignment="1">
      <x:alignment horizontal="center"/>
    </x:xf>
    <x:xf numFmtId="202" fontId="10" fillId="0" borderId="1" xfId="0" applyNumberFormat="1" applyFont="1" applyFill="1" applyBorder="1" applyAlignment="1">
      <x:alignment horizontal="center"/>
    </x:xf>
    <x:xf numFmtId="202" fontId="10" fillId="0" borderId="0" xfId="0" applyNumberFormat="1" applyFont="1" applyFill="1" applyBorder="1" applyAlignment="1">
      <x:alignment horizontal="center" vertical="center"/>
    </x:xf>
    <x:xf numFmtId="202" fontId="10" fillId="0" borderId="1" xfId="0" applyNumberFormat="1" applyFont="1" applyFill="1" applyBorder="1" applyAlignment="1">
      <x:alignment horizontal="center" vertical="center"/>
    </x:xf>
    <x:xf numFmtId="204" fontId="7" fillId="0" borderId="0" xfId="0" applyNumberFormat="1" applyFont="1" applyFill="1" applyBorder="1"/>
    <x:xf numFmtId="204" fontId="7" fillId="0" borderId="1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4" fillId="3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wrapText="1"/>
    </x:xf>
    <x:xf numFmtId="0" fontId="15" fillId="4" borderId="0" xfId="0" applyNumberFormat="1" applyFont="1" applyFill="1" applyBorder="1" applyAlignment="1">
      <x:alignment vertical="center" wrapText="1"/>
    </x:xf>
    <x:xf numFmtId="0" fontId="11" fillId="2" borderId="1" xfId="0" applyNumberFormat="1" applyFont="1" applyFill="1" applyBorder="1" applyAlignment="1">
      <x:alignment vertical="center"/>
    </x:xf>
    <x:xf numFmtId="0" fontId="12" fillId="0" borderId="1" xfId="0" applyNumberFormat="1" applyFont="1" applyFill="1" applyBorder="1"/>
    <x:xf numFmtId="0" fontId="13" fillId="0" borderId="1" xfId="0" applyNumberFormat="1" applyFont="1" applyFill="1" applyBorder="1" applyAlignment="1">
      <x:alignment wrapText="1"/>
    </x:xf>
    <x:xf numFmtId="0" fontId="14" fillId="3" borderId="1" xfId="0" applyNumberFormat="1" applyFont="1" applyFill="1" applyBorder="1" applyAlignment="1">
      <x:alignment vertical="center"/>
    </x:xf>
    <x:xf numFmtId="0" fontId="12" fillId="0" borderId="1" xfId="0" applyNumberFormat="1" applyFont="1" applyFill="1" applyBorder="1" applyAlignment="1">
      <x:alignment wrapText="1"/>
    </x:xf>
    <x:xf numFmtId="0" fontId="15" fillId="4" borderId="1" xfId="0" applyNumberFormat="1" applyFont="1" applyFill="1" applyBorder="1" applyAlignment="1">
      <x:alignment vertical="center" wrapText="1"/>
    </x:xf>
    <x:xf numFmtId="0" fontId="11" fillId="2" borderId="0" xfId="0" applyNumberFormat="1" applyFont="1" applyFill="1" applyBorder="1" applyAlignment="1">
      <x:alignment vertical="center" wrapText="1"/>
    </x:xf>
    <x:xf numFmtId="200" fontId="16" fillId="0" borderId="0" xfId="0" applyNumberFormat="1" applyFont="1" applyFill="1" applyBorder="1"/>
    <x:xf numFmtId="201" fontId="16" fillId="0" borderId="0" xfId="0" applyNumberFormat="1" applyFont="1" applyFill="1" applyBorder="1"/>
    <x:xf numFmtId="202" fontId="16" fillId="0" borderId="0" xfId="0" applyNumberFormat="1" applyFont="1" applyFill="1" applyBorder="1"/>
    <x:xf numFmtId="200" fontId="17" fillId="0" borderId="0" xfId="0" applyNumberFormat="1" applyFont="1" applyFill="1" applyBorder="1"/>
    <x:xf numFmtId="201" fontId="17" fillId="0" borderId="0" xfId="0" applyNumberFormat="1" applyFont="1" applyFill="1" applyBorder="1"/>
    <x:xf numFmtId="0" fontId="11" fillId="2" borderId="1" xfId="0" applyNumberFormat="1" applyFont="1" applyFill="1" applyBorder="1" applyAlignment="1">
      <x:alignment vertical="center" wrapText="1"/>
    </x:xf>
    <x:xf numFmtId="200" fontId="16" fillId="0" borderId="1" xfId="0" applyNumberFormat="1" applyFont="1" applyFill="1" applyBorder="1"/>
    <x:xf numFmtId="201" fontId="16" fillId="0" borderId="1" xfId="0" applyNumberFormat="1" applyFont="1" applyFill="1" applyBorder="1"/>
    <x:xf numFmtId="202" fontId="16" fillId="0" borderId="1" xfId="0" applyNumberFormat="1" applyFont="1" applyFill="1" applyBorder="1"/>
    <x:xf numFmtId="200" fontId="17" fillId="0" borderId="1" xfId="0" applyNumberFormat="1" applyFont="1" applyFill="1" applyBorder="1"/>
    <x:xf numFmtId="201" fontId="17" fillId="0" borderId="1" xfId="0" applyNumberFormat="1" applyFont="1" applyFill="1" applyBorder="1"/>
    <x:xf numFmtId="0" fontId="15" fillId="0" borderId="0" xfId="0" applyNumberFormat="1" applyFont="1" applyFill="1" applyBorder="1"/>
    <x:xf numFmtId="200" fontId="15" fillId="0" borderId="0" xfId="0" applyNumberFormat="1" applyFont="1" applyFill="1" applyBorder="1"/>
    <x:xf numFmtId="201" fontId="15" fillId="0" borderId="0" xfId="0" applyNumberFormat="1" applyFont="1" applyFill="1" applyBorder="1"/>
    <x:xf numFmtId="0" fontId="15" fillId="0" borderId="1" xfId="0" applyNumberFormat="1" applyFont="1" applyFill="1" applyBorder="1"/>
    <x:xf numFmtId="200" fontId="15" fillId="0" borderId="1" xfId="0" applyNumberFormat="1" applyFont="1" applyFill="1" applyBorder="1"/>
    <x:xf numFmtId="201" fontId="15" fillId="0" borderId="1" xfId="0" applyNumberFormat="1" applyFont="1" applyFill="1" applyBorder="1"/>
    <x:xf numFmtId="0" fontId="18" fillId="0" borderId="0" xfId="0" applyNumberFormat="1" applyFont="1" applyFill="1" applyBorder="1"/>
    <x:xf numFmtId="200" fontId="18" fillId="0" borderId="0" xfId="0" applyNumberFormat="1" applyFont="1" applyFill="1" applyBorder="1"/>
    <x:xf numFmtId="201" fontId="18" fillId="0" borderId="0" xfId="0" applyNumberFormat="1" applyFont="1" applyFill="1" applyBorder="1"/>
    <x:xf numFmtId="0" fontId="19" fillId="0" borderId="0" xfId="0" applyNumberFormat="1" applyFont="1" applyFill="1" applyBorder="1"/>
    <x:xf numFmtId="200" fontId="19" fillId="0" borderId="0" xfId="0" applyNumberFormat="1" applyFont="1" applyFill="1" applyBorder="1"/>
    <x:xf numFmtId="0" fontId="18" fillId="0" borderId="1" xfId="0" applyNumberFormat="1" applyFont="1" applyFill="1" applyBorder="1"/>
    <x:xf numFmtId="200" fontId="18" fillId="0" borderId="1" xfId="0" applyNumberFormat="1" applyFont="1" applyFill="1" applyBorder="1"/>
    <x:xf numFmtId="201" fontId="18" fillId="0" borderId="1" xfId="0" applyNumberFormat="1" applyFont="1" applyFill="1" applyBorder="1"/>
    <x:xf numFmtId="0" fontId="19" fillId="0" borderId="1" xfId="0" applyNumberFormat="1" applyFont="1" applyFill="1" applyBorder="1"/>
    <x:xf numFmtId="200" fontId="19" fillId="0" borderId="1" xfId="0" applyNumberFormat="1" applyFont="1" applyFill="1" applyBorder="1"/>
    <x:xf numFmtId="202" fontId="18" fillId="0" borderId="0" xfId="0" applyNumberFormat="1" applyFont="1" applyFill="1" applyBorder="1"/>
    <x:xf numFmtId="203" fontId="17" fillId="0" borderId="0" xfId="0" applyNumberFormat="1" applyFont="1" applyFill="1" applyBorder="1"/>
    <x:xf numFmtId="202" fontId="18" fillId="0" borderId="1" xfId="0" applyNumberFormat="1" applyFont="1" applyFill="1" applyBorder="1"/>
    <x:xf numFmtId="203" fontId="17" fillId="0" borderId="1" xfId="0" applyNumberFormat="1" applyFont="1" applyFill="1" applyBorder="1"/>
    <x:xf numFmtId="204" fontId="17" fillId="0" borderId="0" xfId="0" applyNumberFormat="1" applyFont="1" applyFill="1" applyBorder="1"/>
    <x:xf numFmtId="203" fontId="18" fillId="0" borderId="0" xfId="0" applyNumberFormat="1" applyFont="1" applyFill="1" applyBorder="1"/>
    <x:xf numFmtId="204" fontId="17" fillId="0" borderId="1" xfId="0" applyNumberFormat="1" applyFont="1" applyFill="1" applyBorder="1"/>
    <x:xf numFmtId="203" fontId="18" fillId="0" borderId="1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20" fillId="5" borderId="0" xfId="0" applyNumberFormat="1" applyFont="1" applyFill="1" applyBorder="1"/>
    <x:xf numFmtId="200" fontId="21" fillId="0" borderId="0" xfId="0" applyNumberFormat="1" applyFont="1" applyFill="1" applyBorder="1" applyAlignment="1">
      <x:alignment horizontal="center" vertical="center"/>
    </x:xf>
    <x:xf numFmtId="201" fontId="21" fillId="0" borderId="0" xfId="0" applyNumberFormat="1" applyFont="1" applyFill="1" applyBorder="1" applyAlignment="1">
      <x:alignment horizontal="center" vertical="center"/>
    </x:xf>
    <x:xf numFmtId="202" fontId="21" fillId="0" borderId="0" xfId="0" applyNumberFormat="1" applyFont="1" applyFill="1" applyBorder="1" applyAlignment="1">
      <x:alignment horizontal="center" vertical="center"/>
    </x:xf>
    <x:xf numFmtId="204" fontId="18" fillId="0" borderId="0" xfId="0" applyNumberFormat="1" applyFont="1" applyFill="1" applyBorder="1"/>
    <x:xf numFmtId="0" fontId="15" fillId="6" borderId="0" xfId="0" applyNumberFormat="1" applyFont="1" applyFill="1" applyBorder="1" applyAlignment="1">
      <x:alignment wrapText="1"/>
    </x:xf>
    <x:xf numFmtId="0" fontId="15" fillId="0" borderId="1" xfId="0" applyNumberFormat="1" applyFont="1" applyFill="1" applyBorder="1" applyAlignment="1">
      <x:alignment wrapText="1"/>
    </x:xf>
    <x:xf numFmtId="0" fontId="20" fillId="5" borderId="1" xfId="0" applyNumberFormat="1" applyFont="1" applyFill="1" applyBorder="1"/>
    <x:xf numFmtId="200" fontId="21" fillId="0" borderId="1" xfId="0" applyNumberFormat="1" applyFont="1" applyFill="1" applyBorder="1" applyAlignment="1">
      <x:alignment horizontal="center" vertical="center"/>
    </x:xf>
    <x:xf numFmtId="201" fontId="21" fillId="0" borderId="1" xfId="0" applyNumberFormat="1" applyFont="1" applyFill="1" applyBorder="1" applyAlignment="1">
      <x:alignment horizontal="center" vertical="center"/>
    </x:xf>
    <x:xf numFmtId="202" fontId="21" fillId="0" borderId="1" xfId="0" applyNumberFormat="1" applyFont="1" applyFill="1" applyBorder="1" applyAlignment="1">
      <x:alignment horizontal="center" vertical="center"/>
    </x:xf>
    <x:xf numFmtId="204" fontId="18" fillId="0" borderId="1" xfId="0" applyNumberFormat="1" applyFont="1" applyFill="1" applyBorder="1"/>
    <x:xf numFmtId="0" fontId="15" fillId="6" borderId="1" xfId="0" applyNumberFormat="1" applyFont="1" applyFill="1" applyBorder="1" applyAlignment="1">
      <x:alignment wrapText="1"/>
    </x:xf>
    <x:xf numFmtId="200" fontId="12" fillId="0" borderId="0" xfId="0" applyNumberFormat="1" applyFont="1" applyFill="1" applyBorder="1"/>
    <x:xf numFmtId="200" fontId="12" fillId="0" borderId="1" xfId="0" applyNumberFormat="1" applyFont="1" applyFill="1" applyBorder="1"/>
    <x:xf numFmtId="0" fontId="22" fillId="0" borderId="0" xfId="0" applyNumberFormat="1" applyFont="1" applyFill="1" applyBorder="1"/>
    <x:xf numFmtId="200" fontId="22" fillId="0" borderId="0" xfId="0" applyNumberFormat="1" applyFont="1" applyFill="1" applyBorder="1"/>
  </x:cellXfs>
  <x:cellStyles count="1">
    <x:cellStyle name="Normal" xfId="0"/>
  </x:cellStyles>
  <x:dxfs count="7">
    <x:dxf>
      <x:font>
        <x:color rgb="FFC00000"/>
      </x:font>
      <x:fill>
        <x:patternFill patternType="solid">
          <x:bgColor rgb="FFFCE8EA"/>
        </x:patternFill>
      </x:fill>
    </x:dxf>
    <x:dxf>
      <x:font>
        <x:b/>
        <x:color rgb="FFC00000"/>
      </x:font>
      <x:fill>
        <x:patternFill patternType="solid">
          <x:bgColor rgb="FFFCE8EA"/>
        </x:patternFill>
      </x:fill>
    </x:dxf>
    <x:dxf>
      <x:font>
        <x:b/>
        <x:color rgb="FF2E6B3A"/>
      </x:font>
      <x:fill>
        <x:patternFill patternType="solid">
          <x:bgColor rgb="FFE8F3EC"/>
        </x:patternFill>
      </x:fill>
    </x:dxf>
    <x:dxf>
      <x:font>
        <x:b/>
        <x:color rgb="FFC00000"/>
      </x:font>
      <x:fill>
        <x:patternFill patternType="solid">
          <x:bgColor rgb="FFFCE8EA"/>
        </x:patternFill>
      </x:fill>
    </x:dxf>
    <x:dxf>
      <x:font>
        <x:b/>
        <x:color rgb="FF2E6B3A"/>
      </x:font>
      <x:fill>
        <x:patternFill patternType="solid">
          <x:bgColor rgb="FFE8F3EC"/>
        </x:patternFill>
      </x:fill>
    </x:dxf>
    <x:dxf>
      <x:font>
        <x:b/>
        <x:color rgb="FF2E6B3A"/>
      </x:font>
      <x:fill>
        <x:patternFill patternType="solid">
          <x:bgColor rgb="FFE8F3EC"/>
        </x:patternFill>
      </x:fill>
    </x:dxf>
    <x:dxf>
      <x:font>
        <x:b/>
        <x:color rgb="FFC00000"/>
      </x:font>
      <x:fill>
        <x:patternFill patternType="solid">
          <x:bgColor rgb="FFFCE8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4e460fa6c8446c" /><Relationship Type="http://schemas.openxmlformats.org/officeDocument/2006/relationships/theme" Target="/xl/theme/theme1.xml" Id="Rbc8e6cdf8ffe4ff0" /><Relationship Type="http://schemas.openxmlformats.org/officeDocument/2006/relationships/sharedStrings" Target="/xl/sharedStrings.xml" Id="R92670a615dc640f5" /><Relationship Type="http://schemas.openxmlformats.org/officeDocument/2006/relationships/worksheet" Target="/xl/worksheets/sheet1.xml" Id="Rc6bdcd2fe389496d" /><Relationship Type="http://schemas.openxmlformats.org/officeDocument/2006/relationships/worksheet" Target="/xl/worksheets/sheet2.xml" Id="R6be913f5cb7343d4" /><Relationship Type="http://schemas.openxmlformats.org/officeDocument/2006/relationships/worksheet" Target="/xl/worksheets/sheet3.xml" Id="Rca18d478814041f8" /><Relationship Type="http://schemas.openxmlformats.org/officeDocument/2006/relationships/worksheet" Target="/xl/worksheets/sheet4.xml" Id="R4435a8ef734541a7" /><Relationship Type="http://schemas.openxmlformats.org/officeDocument/2006/relationships/worksheet" Target="/xl/worksheets/sheet5.xml" Id="R4a666d02098e4aaf" /><Relationship Type="http://schemas.openxmlformats.org/officeDocument/2006/relationships/worksheet" Target="/xl/worksheets/sheet6.xml" Id="Rabe95959be8a42c1" /><Relationship Type="http://schemas.openxmlformats.org/officeDocument/2006/relationships/worksheet" Target="/xl/worksheets/sheet7.xml" Id="R66d64146248f42eb" /><Relationship Type="http://schemas.openxmlformats.org/officeDocument/2006/relationships/worksheet" Target="/xl/worksheets/sheet8.xml" Id="R88893d6a23f641cf" /><Relationship Type="http://schemas.openxmlformats.org/officeDocument/2006/relationships/worksheet" Target="/xl/worksheets/sheet9.xml" Id="R4757fe23b61643c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4eaf7726b3c4b9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Risk-adjusted annual gross benefit by scenario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Conservative</c:v>
          </c:tx>
          <c:cat>
            <c:strRef>
              <c:f>'06_Business_Case'!$H$20</c:f>
              <c:strCache>
                <c:ptCount val="0"/>
              </c:strCache>
            </c:strRef>
          </c:cat>
          <c:val>
            <c:numRef>
              <c:f>'06_Business_Case'!$I$20</c:f>
              <c:numCache>
                <c:formatCode>#,##0;[Red](#,##0);-</c:formatCode>
                <c:ptCount val="0"/>
              </c:numCache>
            </c:numRef>
          </c:val>
        </c:ser>
        <c:ser>
          <c:idx val="1"/>
          <c:order val="1"/>
          <c:tx>
            <c:v>Moderate</c:v>
          </c:tx>
          <c:cat>
            <c:strRef>
              <c:f>'06_Business_Case'!$H$20</c:f>
              <c:strCache>
                <c:ptCount val="0"/>
              </c:strCache>
            </c:strRef>
          </c:cat>
          <c:val>
            <c:numRef>
              <c:f>'06_Business_Case'!$J$20</c:f>
              <c:numCache>
                <c:formatCode>#,##0;[Red](#,##0);-</c:formatCode>
                <c:ptCount val="0"/>
              </c:numCache>
            </c:numRef>
          </c:val>
        </c:ser>
        <c:ser>
          <c:idx val="2"/>
          <c:order val="2"/>
          <c:tx>
            <c:v>Stretch</c:v>
          </c:tx>
          <c:cat>
            <c:strRef>
              <c:f>'06_Business_Case'!$H$20</c:f>
              <c:strCache>
                <c:ptCount val="0"/>
              </c:strCache>
            </c:strRef>
          </c:cat>
          <c:val>
            <c:numRef>
              <c:f>'06_Business_Case'!$K$20</c:f>
              <c:numCache>
                <c:formatCode>#,##0;[Red](#,##0);-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eaf7726b3c4b9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49c6e42b187f450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0" hidden="0" customWidth="1"/>
    <x:col min="3" max="3" width="30" hidden="0" customWidth="1"/>
  </x:cols>
  <x:sheetData>
    <x:row r="1" ht="30" customHeight="1">
      <x:c r="A1" s="105" t="str">
        <x:v>Operational Excellence &amp; Profitability - Hospitality Work Sample</x:v>
      </x:c>
      <x:c r="B1" s="105"/>
      <x:c r="C1" s="105"/>
      <x:c r="D1" s="105"/>
      <x:c r="E1" s="105"/>
      <x:c r="F1" s="105"/>
      <x:c r="G1" s="106"/>
      <x:c r="H1" s="106"/>
      <x:c r="I1" s="106"/>
      <x:c r="J1" s="106"/>
      <x:c r="K1" s="106"/>
      <x:c r="L1" s="106"/>
      <x:c r="M1" s="106"/>
      <x:c r="N1" s="106"/>
      <x:c r="O1" s="106"/>
      <x:c r="P1" s="106"/>
      <x:c r="Q1" s="106"/>
      <x:c r="R1" s="106"/>
      <x:c r="S1" s="106"/>
      <x:c r="T1" s="106"/>
      <x:c r="U1" s="106"/>
      <x:c r="V1" s="106"/>
      <x:c r="W1" s="106"/>
      <x:c r="X1" s="106"/>
      <x:c r="Y1" s="106"/>
      <x:c r="Z1" s="106"/>
    </x:row>
    <x:row r="2" ht="28" customHeight="1">
      <x:c r="A2" s="107" t="str">
        <x:v>Independent professional work sample using synthetic data only. No employer or client confidential information.</x:v>
      </x:c>
      <x:c r="B2" s="107"/>
      <x:c r="C2" s="107"/>
      <x:c r="D2" s="107"/>
      <x:c r="E2" s="107"/>
      <x:c r="F2" s="107"/>
      <x:c r="G2" s="106"/>
      <x:c r="H2" s="106"/>
      <x:c r="I2" s="106"/>
      <x:c r="J2" s="106"/>
      <x:c r="K2" s="106"/>
      <x:c r="L2" s="106"/>
      <x:c r="M2" s="106"/>
      <x:c r="N2" s="106"/>
      <x:c r="O2" s="106"/>
      <x:c r="P2" s="106"/>
      <x:c r="Q2" s="106"/>
      <x:c r="R2" s="106"/>
      <x:c r="S2" s="106"/>
      <x:c r="T2" s="106"/>
      <x:c r="U2" s="106"/>
      <x:c r="V2" s="106"/>
      <x:c r="W2" s="106"/>
      <x:c r="X2" s="106"/>
      <x:c r="Y2" s="106"/>
      <x:c r="Z2" s="106"/>
    </x:row>
    <x:row r="3">
      <x:c r="A3" s="106"/>
      <x:c r="B3" s="106"/>
      <x:c r="C3" s="106"/>
      <x:c r="D3" s="106"/>
      <x:c r="E3" s="106"/>
      <x:c r="F3" s="106"/>
      <x:c r="G3" s="106"/>
      <x:c r="H3" s="106"/>
      <x:c r="I3" s="106"/>
      <x:c r="J3" s="106"/>
      <x:c r="K3" s="106"/>
      <x:c r="L3" s="106"/>
      <x:c r="M3" s="106"/>
      <x:c r="N3" s="106"/>
      <x:c r="O3" s="106"/>
      <x:c r="P3" s="106"/>
      <x:c r="Q3" s="106"/>
      <x:c r="R3" s="106"/>
      <x:c r="S3" s="106"/>
      <x:c r="T3" s="106"/>
      <x:c r="U3" s="106"/>
      <x:c r="V3" s="106"/>
      <x:c r="W3" s="106"/>
      <x:c r="X3" s="106"/>
      <x:c r="Y3" s="106"/>
      <x:c r="Z3" s="106"/>
    </x:row>
    <x:row r="4">
      <x:c r="A4" s="108" t="str">
        <x:v>Purpose and use</x:v>
      </x:c>
      <x:c r="B4" s="108"/>
      <x:c r="C4" s="108"/>
      <x:c r="D4" s="108"/>
      <x:c r="E4" s="108"/>
      <x:c r="F4" s="108"/>
      <x:c r="G4" s="106"/>
      <x:c r="H4" s="106"/>
      <x:c r="I4" s="106"/>
      <x:c r="J4" s="106"/>
      <x:c r="K4" s="106"/>
      <x:c r="L4" s="106"/>
      <x:c r="M4" s="106"/>
      <x:c r="N4" s="106"/>
      <x:c r="O4" s="106"/>
      <x:c r="P4" s="106"/>
      <x:c r="Q4" s="106"/>
      <x:c r="R4" s="106"/>
      <x:c r="S4" s="106"/>
      <x:c r="T4" s="106"/>
      <x:c r="U4" s="106"/>
      <x:c r="V4" s="106"/>
      <x:c r="W4" s="106"/>
      <x:c r="X4" s="106"/>
      <x:c r="Y4" s="106"/>
      <x:c r="Z4" s="106"/>
    </x:row>
    <x:row r="5" ht="28" customHeight="1">
      <x:c r="A5" s="109" t="str">
        <x:v>This workbook is a self-directed professional work sample designed to demonstrate a structured approach to performance diagnosis, scenario testing, commercial evaluation and benefits governance in a service-business context.</x:v>
      </x:c>
      <x:c r="B5" s="109"/>
      <x:c r="C5" s="109"/>
      <x:c r="D5" s="109"/>
      <x:c r="E5" s="109"/>
      <x:c r="F5" s="109"/>
      <x:c r="G5" s="106"/>
      <x:c r="H5" s="106"/>
      <x:c r="I5" s="106"/>
      <x:c r="J5" s="106"/>
      <x:c r="K5" s="106"/>
      <x:c r="L5" s="106"/>
      <x:c r="M5" s="106"/>
      <x:c r="N5" s="106"/>
      <x:c r="O5" s="106"/>
      <x:c r="P5" s="106"/>
      <x:c r="Q5" s="106"/>
      <x:c r="R5" s="106"/>
      <x:c r="S5" s="106"/>
      <x:c r="T5" s="106"/>
      <x:c r="U5" s="106"/>
      <x:c r="V5" s="106"/>
      <x:c r="W5" s="106"/>
      <x:c r="X5" s="106"/>
      <x:c r="Y5" s="106"/>
      <x:c r="Z5" s="106"/>
    </x:row>
    <x:row r="6" ht="28" customHeight="1">
      <x:c r="A6" s="109" t="str">
        <x:v>It is not a representation of hotel operating experience, a client engagement or realised business results. All figures are synthetic and illustrative.</x:v>
      </x:c>
      <x:c r="B6" s="109"/>
      <x:c r="C6" s="109"/>
      <x:c r="D6" s="109"/>
      <x:c r="E6" s="109"/>
      <x:c r="F6" s="109"/>
      <x:c r="G6" s="106"/>
      <x:c r="H6" s="106"/>
      <x:c r="I6" s="106"/>
      <x:c r="J6" s="106"/>
      <x:c r="K6" s="106"/>
      <x:c r="L6" s="106"/>
      <x:c r="M6" s="106"/>
      <x:c r="N6" s="106"/>
      <x:c r="O6" s="106"/>
      <x:c r="P6" s="106"/>
      <x:c r="Q6" s="106"/>
      <x:c r="R6" s="106"/>
      <x:c r="S6" s="106"/>
      <x:c r="T6" s="106"/>
      <x:c r="U6" s="106"/>
      <x:c r="V6" s="106"/>
      <x:c r="W6" s="106"/>
      <x:c r="X6" s="106"/>
      <x:c r="Y6" s="106"/>
      <x:c r="Z6" s="106"/>
    </x:row>
    <x:row r="7" ht="28" customHeight="1">
      <x:c r="A7" s="109" t="str">
        <x:v>The model is intended to show the reasoning chain from evidence -&gt; drivers -&gt; scenarios -&gt; business case -&gt; governance.</x:v>
      </x:c>
      <x:c r="B7" s="109"/>
      <x:c r="C7" s="109"/>
      <x:c r="D7" s="109"/>
      <x:c r="E7" s="109"/>
      <x:c r="F7" s="109"/>
      <x:c r="G7" s="106"/>
      <x:c r="H7" s="106"/>
      <x:c r="I7" s="106"/>
      <x:c r="J7" s="106"/>
      <x:c r="K7" s="106"/>
      <x:c r="L7" s="106"/>
      <x:c r="M7" s="106"/>
      <x:c r="N7" s="106"/>
      <x:c r="O7" s="106"/>
      <x:c r="P7" s="106"/>
      <x:c r="Q7" s="106"/>
      <x:c r="R7" s="106"/>
      <x:c r="S7" s="106"/>
      <x:c r="T7" s="106"/>
      <x:c r="U7" s="106"/>
      <x:c r="V7" s="106"/>
      <x:c r="W7" s="106"/>
      <x:c r="X7" s="106"/>
      <x:c r="Y7" s="106"/>
      <x:c r="Z7" s="106"/>
    </x:row>
    <x:row r="8" ht="28" customHeight="1">
      <x:c r="A8" s="109" t="str">
        <x:v>Blue font = hardcoded synthetic input. Green font = formula linked from another worksheet. Black font = formula/calculation on the same worksheet.</x:v>
      </x:c>
      <x:c r="B8" s="109"/>
      <x:c r="C8" s="109"/>
      <x:c r="D8" s="109"/>
      <x:c r="E8" s="109"/>
      <x:c r="F8" s="109"/>
      <x:c r="G8" s="106"/>
      <x:c r="H8" s="106"/>
      <x:c r="I8" s="106"/>
      <x:c r="J8" s="106"/>
      <x:c r="K8" s="106"/>
      <x:c r="L8" s="106"/>
      <x:c r="M8" s="106"/>
      <x:c r="N8" s="106"/>
      <x:c r="O8" s="106"/>
      <x:c r="P8" s="106"/>
      <x:c r="Q8" s="106"/>
      <x:c r="R8" s="106"/>
      <x:c r="S8" s="106"/>
      <x:c r="T8" s="106"/>
      <x:c r="U8" s="106"/>
      <x:c r="V8" s="106"/>
      <x:c r="W8" s="106"/>
      <x:c r="X8" s="106"/>
      <x:c r="Y8" s="106"/>
      <x:c r="Z8" s="106"/>
    </x:row>
    <x:row r="9">
      <x:c r="A9" s="106"/>
      <x:c r="B9" s="106"/>
      <x:c r="C9" s="106"/>
      <x:c r="D9" s="106"/>
      <x:c r="E9" s="106"/>
      <x:c r="F9" s="106"/>
      <x:c r="G9" s="106"/>
      <x:c r="H9" s="106"/>
      <x:c r="I9" s="106"/>
      <x:c r="J9" s="106"/>
      <x:c r="K9" s="106"/>
      <x:c r="L9" s="106"/>
      <x:c r="M9" s="106"/>
      <x:c r="N9" s="106"/>
      <x:c r="O9" s="106"/>
      <x:c r="P9" s="106"/>
      <x:c r="Q9" s="106"/>
      <x:c r="R9" s="106"/>
      <x:c r="S9" s="106"/>
      <x:c r="T9" s="106"/>
      <x:c r="U9" s="106"/>
      <x:c r="V9" s="106"/>
      <x:c r="W9" s="106"/>
      <x:c r="X9" s="106"/>
      <x:c r="Y9" s="106"/>
      <x:c r="Z9" s="106"/>
    </x:row>
    <x:row r="10">
      <x:c r="A10" s="110" t="str">
        <x:v>Sheet</x:v>
      </x:c>
      <x:c r="B10" s="110" t="str">
        <x:v>Purpose</x:v>
      </x:c>
      <x:c r="C10" s="110" t="str">
        <x:v>Primary output</x:v>
      </x:c>
      <x:c r="D10" s="106"/>
      <x:c r="E10" s="106"/>
      <x:c r="F10" s="106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106"/>
      <x:c r="Q10" s="106"/>
      <x:c r="R10" s="106"/>
      <x:c r="S10" s="106"/>
      <x:c r="T10" s="106"/>
      <x:c r="U10" s="106"/>
      <x:c r="V10" s="106"/>
      <x:c r="W10" s="106"/>
      <x:c r="X10" s="106"/>
      <x:c r="Y10" s="106"/>
      <x:c r="Z10" s="106"/>
    </x:row>
    <x:row r="11">
      <x:c r="A11" s="109" t="str">
        <x:v>01_Inputs</x:v>
      </x:c>
      <x:c r="B11" s="109" t="str">
        <x:v>Synthetic operating and financial assumptions</x:v>
      </x:c>
      <x:c r="C11" s="109" t="str">
        <x:v>Single source of truth</x:v>
      </x:c>
      <x:c r="D11" s="106"/>
      <x:c r="E11" s="106"/>
      <x:c r="F11" s="106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106"/>
      <x:c r="Q11" s="106"/>
      <x:c r="R11" s="106"/>
      <x:c r="S11" s="106"/>
      <x:c r="T11" s="106"/>
      <x:c r="U11" s="106"/>
      <x:c r="V11" s="106"/>
      <x:c r="W11" s="106"/>
      <x:c r="X11" s="106"/>
      <x:c r="Y11" s="106"/>
      <x:c r="Z11" s="106"/>
    </x:row>
    <x:row r="12">
      <x:c r="A12" s="109" t="str">
        <x:v>02_PnL_Diagnostic</x:v>
      </x:c>
      <x:c r="B12" s="109" t="str">
        <x:v>Budget vs Actual P&amp;L and KPI variance</x:v>
      </x:c>
      <x:c r="C12" s="109" t="str">
        <x:v>Where the profit gap sits</x:v>
      </x:c>
      <x:c r="D12" s="106"/>
      <x:c r="E12" s="106"/>
      <x:c r="F12" s="106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106"/>
      <x:c r="Q12" s="106"/>
      <x:c r="R12" s="106"/>
      <x:c r="S12" s="106"/>
      <x:c r="T12" s="106"/>
      <x:c r="U12" s="106"/>
      <x:c r="V12" s="106"/>
      <x:c r="W12" s="106"/>
      <x:c r="X12" s="106"/>
      <x:c r="Y12" s="106"/>
      <x:c r="Z12" s="106"/>
    </x:row>
    <x:row r="13">
      <x:c r="A13" s="109" t="str">
        <x:v>03_Revenue_Bridge</x:v>
      </x:c>
      <x:c r="B13" s="109" t="str">
        <x:v>Rooms Price-Volume-Mix bridge by segment</x:v>
      </x:c>
      <x:c r="C13" s="109" t="str">
        <x:v>Revenue driver decomposition</x:v>
      </x:c>
      <x:c r="D13" s="106"/>
      <x:c r="E13" s="106"/>
      <x:c r="F13" s="106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106"/>
      <x:c r="Q13" s="106"/>
      <x:c r="R13" s="106"/>
      <x:c r="S13" s="106"/>
      <x:c r="T13" s="106"/>
      <x:c r="U13" s="106"/>
      <x:c r="V13" s="106"/>
      <x:c r="W13" s="106"/>
      <x:c r="X13" s="106"/>
      <x:c r="Y13" s="106"/>
      <x:c r="Z13" s="106"/>
    </x:row>
    <x:row r="14">
      <x:c r="A14" s="109" t="str">
        <x:v>04_Cost_Bridges</x:v>
      </x:c>
      <x:c r="B14" s="109" t="str">
        <x:v>Labour and F&amp;B cost decomposition</x:v>
      </x:c>
      <x:c r="C14" s="109" t="str">
        <x:v>Cost driver diagnosis</x:v>
      </x:c>
      <x:c r="D14" s="106"/>
      <x:c r="E14" s="106"/>
      <x:c r="F14" s="106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106"/>
      <x:c r="Q14" s="106"/>
      <x:c r="R14" s="106"/>
      <x:c r="S14" s="106"/>
      <x:c r="T14" s="106"/>
      <x:c r="U14" s="106"/>
      <x:c r="V14" s="106"/>
      <x:c r="W14" s="106"/>
      <x:c r="X14" s="106"/>
      <x:c r="Y14" s="106"/>
      <x:c r="Z14" s="106"/>
    </x:row>
    <x:row r="15">
      <x:c r="A15" s="109" t="str">
        <x:v>05_Scenarios</x:v>
      </x:c>
      <x:c r="B15" s="109" t="str">
        <x:v>Conservative / Moderate / Stretch operating scenarios</x:v>
      </x:c>
      <x:c r="C15" s="109" t="str">
        <x:v>Scenario P&amp;L and guardrails</x:v>
      </x:c>
      <x:c r="D15" s="106"/>
      <x:c r="E15" s="106"/>
      <x:c r="F15" s="106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106"/>
      <x:c r="Q15" s="106"/>
      <x:c r="R15" s="106"/>
      <x:c r="S15" s="106"/>
      <x:c r="T15" s="106"/>
      <x:c r="U15" s="106"/>
      <x:c r="V15" s="106"/>
      <x:c r="W15" s="106"/>
      <x:c r="X15" s="106"/>
      <x:c r="Y15" s="106"/>
      <x:c r="Z15" s="106"/>
    </x:row>
    <x:row r="16">
      <x:c r="A16" s="109" t="str">
        <x:v>06_Business_Case</x:v>
      </x:c>
      <x:c r="B16" s="109" t="str">
        <x:v>Addressability, confidence, cost and return logic</x:v>
      </x:c>
      <x:c r="C16" s="109" t="str">
        <x:v>Risk-adjusted economics</x:v>
      </x:c>
      <x:c r="D16" s="106"/>
      <x:c r="E16" s="106"/>
      <x:c r="F16" s="106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106"/>
      <x:c r="Q16" s="106"/>
      <x:c r="R16" s="106"/>
      <x:c r="S16" s="106"/>
      <x:c r="T16" s="106"/>
      <x:c r="U16" s="106"/>
      <x:c r="V16" s="106"/>
      <x:c r="W16" s="106"/>
      <x:c r="X16" s="106"/>
      <x:c r="Y16" s="106"/>
      <x:c r="Z16" s="106"/>
    </x:row>
    <x:row r="17">
      <x:c r="A17" s="109" t="str">
        <x:v>07_Benefits_Gov</x:v>
      </x:c>
      <x:c r="B17" s="109" t="str">
        <x:v>Benefits tracker and control design</x:v>
      </x:c>
      <x:c r="C17" s="109" t="str">
        <x:v>Ownership and measurement</x:v>
      </x:c>
      <x:c r="D17" s="106"/>
      <x:c r="E17" s="106"/>
      <x:c r="F17" s="106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106"/>
      <x:c r="Q17" s="106"/>
      <x:c r="R17" s="106"/>
      <x:c r="S17" s="106"/>
      <x:c r="T17" s="106"/>
      <x:c r="U17" s="106"/>
      <x:c r="V17" s="106"/>
      <x:c r="W17" s="106"/>
      <x:c r="X17" s="106"/>
      <x:c r="Y17" s="106"/>
      <x:c r="Z17" s="106"/>
    </x:row>
    <x:row r="18">
      <x:c r="A18" s="109" t="str">
        <x:v>08_Executive_Summary</x:v>
      </x:c>
      <x:c r="B18" s="109" t="str">
        <x:v>Decision-oriented summary</x:v>
      </x:c>
      <x:c r="C18" s="109" t="str">
        <x:v>Recommended pilot and evidence</x:v>
      </x:c>
      <x:c r="D18" s="106"/>
      <x:c r="E18" s="106"/>
      <x:c r="F18" s="106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106"/>
      <x:c r="Q18" s="106"/>
      <x:c r="R18" s="106"/>
      <x:c r="S18" s="106"/>
      <x:c r="T18" s="106"/>
      <x:c r="U18" s="106"/>
      <x:c r="V18" s="106"/>
      <x:c r="W18" s="106"/>
      <x:c r="X18" s="106"/>
      <x:c r="Y18" s="106"/>
      <x:c r="Z18" s="106"/>
    </x:row>
    <x:row r="19">
      <x:c r="A19" s="106"/>
      <x:c r="B19" s="106"/>
      <x:c r="C19" s="106"/>
      <x:c r="D19" s="106"/>
      <x:c r="E19" s="106"/>
      <x:c r="F19" s="106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106"/>
      <x:c r="Q19" s="106"/>
      <x:c r="R19" s="106"/>
      <x:c r="S19" s="106"/>
      <x:c r="T19" s="106"/>
      <x:c r="U19" s="106"/>
      <x:c r="V19" s="106"/>
      <x:c r="W19" s="106"/>
      <x:c r="X19" s="106"/>
      <x:c r="Y19" s="106"/>
      <x:c r="Z19" s="106"/>
    </x:row>
    <x:row r="20">
      <x:c r="A20" s="106"/>
      <x:c r="B20" s="106"/>
      <x:c r="C20" s="106"/>
      <x:c r="D20" s="106"/>
      <x:c r="E20" s="106"/>
      <x:c r="F20" s="106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106"/>
      <x:c r="Q20" s="106"/>
      <x:c r="R20" s="106"/>
      <x:c r="S20" s="106"/>
      <x:c r="T20" s="106"/>
      <x:c r="U20" s="106"/>
      <x:c r="V20" s="106"/>
      <x:c r="W20" s="106"/>
      <x:c r="X20" s="106"/>
      <x:c r="Y20" s="106"/>
      <x:c r="Z20" s="106"/>
    </x:row>
    <x:row r="21">
      <x:c r="A21" s="106"/>
      <x:c r="B21" s="106"/>
      <x:c r="C21" s="106"/>
      <x:c r="D21" s="106"/>
      <x:c r="E21" s="106"/>
      <x:c r="F21" s="106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106"/>
      <x:c r="Q21" s="106"/>
      <x:c r="R21" s="106"/>
      <x:c r="S21" s="106"/>
      <x:c r="T21" s="106"/>
      <x:c r="U21" s="106"/>
      <x:c r="V21" s="106"/>
      <x:c r="W21" s="106"/>
      <x:c r="X21" s="106"/>
      <x:c r="Y21" s="106"/>
      <x:c r="Z21" s="106"/>
    </x:row>
    <x:row r="22">
      <x:c r="A22" s="106"/>
      <x:c r="B22" s="106"/>
      <x:c r="C22" s="106"/>
      <x:c r="D22" s="106"/>
      <x:c r="E22" s="106"/>
      <x:c r="F22" s="106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106"/>
      <x:c r="Q22" s="106"/>
      <x:c r="R22" s="106"/>
      <x:c r="S22" s="106"/>
      <x:c r="T22" s="106"/>
      <x:c r="U22" s="106"/>
      <x:c r="V22" s="106"/>
      <x:c r="W22" s="106"/>
      <x:c r="X22" s="106"/>
      <x:c r="Y22" s="106"/>
      <x:c r="Z22" s="106"/>
    </x:row>
    <x:row r="23">
      <x:c r="A23" s="106"/>
      <x:c r="B23" s="106"/>
      <x:c r="C23" s="106"/>
      <x:c r="D23" s="106"/>
      <x:c r="E23" s="106"/>
      <x:c r="F23" s="106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106"/>
      <x:c r="Q23" s="106"/>
      <x:c r="R23" s="106"/>
      <x:c r="S23" s="106"/>
      <x:c r="T23" s="106"/>
      <x:c r="U23" s="106"/>
      <x:c r="V23" s="106"/>
      <x:c r="W23" s="106"/>
      <x:c r="X23" s="106"/>
      <x:c r="Y23" s="106"/>
      <x:c r="Z23" s="106"/>
    </x:row>
    <x:row r="24">
      <x:c r="A24" s="106"/>
      <x:c r="B24" s="106"/>
      <x:c r="C24" s="106"/>
      <x:c r="D24" s="106"/>
      <x:c r="E24" s="106"/>
      <x:c r="F24" s="106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106"/>
      <x:c r="Q24" s="106"/>
      <x:c r="R24" s="106"/>
      <x:c r="S24" s="106"/>
      <x:c r="T24" s="106"/>
      <x:c r="U24" s="106"/>
      <x:c r="V24" s="106"/>
      <x:c r="W24" s="106"/>
      <x:c r="X24" s="106"/>
      <x:c r="Y24" s="106"/>
      <x:c r="Z24" s="106"/>
    </x:row>
    <x:row r="25">
      <x:c r="A25" s="106"/>
      <x:c r="B25" s="106"/>
      <x:c r="C25" s="106"/>
      <x:c r="D25" s="106"/>
      <x:c r="E25" s="106"/>
      <x:c r="F25" s="106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106"/>
      <x:c r="Q25" s="106"/>
      <x:c r="R25" s="106"/>
      <x:c r="S25" s="106"/>
      <x:c r="T25" s="106"/>
      <x:c r="U25" s="106"/>
      <x:c r="V25" s="106"/>
      <x:c r="W25" s="106"/>
      <x:c r="X25" s="106"/>
      <x:c r="Y25" s="106"/>
      <x:c r="Z25" s="106"/>
    </x:row>
    <x:row r="26">
      <x:c r="A26" s="106"/>
      <x:c r="B26" s="106"/>
      <x:c r="C26" s="106"/>
      <x:c r="D26" s="106"/>
      <x:c r="E26" s="106"/>
      <x:c r="F26" s="106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106"/>
      <x:c r="Q26" s="106"/>
      <x:c r="R26" s="106"/>
      <x:c r="S26" s="106"/>
      <x:c r="T26" s="106"/>
      <x:c r="U26" s="106"/>
      <x:c r="V26" s="106"/>
      <x:c r="W26" s="106"/>
      <x:c r="X26" s="106"/>
      <x:c r="Y26" s="106"/>
      <x:c r="Z26" s="106"/>
    </x:row>
    <x:row r="27">
      <x:c r="A27" s="106"/>
      <x:c r="B27" s="106"/>
      <x:c r="C27" s="106"/>
      <x:c r="D27" s="106"/>
      <x:c r="E27" s="106"/>
      <x:c r="F27" s="106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106"/>
      <x:c r="Q27" s="106"/>
      <x:c r="R27" s="106"/>
      <x:c r="S27" s="106"/>
      <x:c r="T27" s="106"/>
      <x:c r="U27" s="106"/>
      <x:c r="V27" s="106"/>
      <x:c r="W27" s="106"/>
      <x:c r="X27" s="106"/>
      <x:c r="Y27" s="106"/>
      <x:c r="Z27" s="106"/>
    </x:row>
    <x:row r="28">
      <x:c r="A28" s="106"/>
      <x:c r="B28" s="106"/>
      <x:c r="C28" s="106"/>
      <x:c r="D28" s="106"/>
      <x:c r="E28" s="106"/>
      <x:c r="F28" s="106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106"/>
      <x:c r="Q28" s="106"/>
      <x:c r="R28" s="106"/>
      <x:c r="S28" s="106"/>
      <x:c r="T28" s="106"/>
      <x:c r="U28" s="106"/>
      <x:c r="V28" s="106"/>
      <x:c r="W28" s="106"/>
      <x:c r="X28" s="106"/>
      <x:c r="Y28" s="106"/>
      <x:c r="Z28" s="106"/>
    </x:row>
    <x:row r="29">
      <x:c r="A29" s="106"/>
      <x:c r="B29" s="106"/>
      <x:c r="C29" s="106"/>
      <x:c r="D29" s="106"/>
      <x:c r="E29" s="106"/>
      <x:c r="F29" s="106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106"/>
      <x:c r="Q29" s="106"/>
      <x:c r="R29" s="106"/>
      <x:c r="S29" s="106"/>
      <x:c r="T29" s="106"/>
      <x:c r="U29" s="106"/>
      <x:c r="V29" s="106"/>
      <x:c r="W29" s="106"/>
      <x:c r="X29" s="106"/>
      <x:c r="Y29" s="106"/>
      <x:c r="Z29" s="106"/>
    </x:row>
    <x:row r="30">
      <x:c r="A30" s="106"/>
      <x:c r="B30" s="106"/>
      <x:c r="C30" s="106"/>
      <x:c r="D30" s="106"/>
      <x:c r="E30" s="106"/>
      <x:c r="F30" s="106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106"/>
      <x:c r="Q30" s="106"/>
      <x:c r="R30" s="106"/>
      <x:c r="S30" s="106"/>
      <x:c r="T30" s="106"/>
      <x:c r="U30" s="106"/>
      <x:c r="V30" s="106"/>
      <x:c r="W30" s="106"/>
      <x:c r="X30" s="106"/>
      <x:c r="Y30" s="106"/>
      <x:c r="Z30" s="106"/>
    </x:row>
    <x:row r="31">
      <x:c r="A31" s="106"/>
      <x:c r="B31" s="106"/>
      <x:c r="C31" s="106"/>
      <x:c r="D31" s="106"/>
      <x:c r="E31" s="106"/>
      <x:c r="F31" s="106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106"/>
      <x:c r="Q31" s="106"/>
      <x:c r="R31" s="106"/>
      <x:c r="S31" s="106"/>
      <x:c r="T31" s="106"/>
      <x:c r="U31" s="106"/>
      <x:c r="V31" s="106"/>
      <x:c r="W31" s="106"/>
      <x:c r="X31" s="106"/>
      <x:c r="Y31" s="106"/>
      <x:c r="Z31" s="106"/>
    </x:row>
    <x:row r="32">
      <x:c r="A32" s="106"/>
      <x:c r="B32" s="106"/>
      <x:c r="C32" s="106"/>
      <x:c r="D32" s="106"/>
      <x:c r="E32" s="106"/>
      <x:c r="F32" s="106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106"/>
      <x:c r="Q32" s="106"/>
      <x:c r="R32" s="106"/>
      <x:c r="S32" s="106"/>
      <x:c r="T32" s="106"/>
      <x:c r="U32" s="106"/>
      <x:c r="V32" s="106"/>
      <x:c r="W32" s="106"/>
      <x:c r="X32" s="106"/>
      <x:c r="Y32" s="106"/>
      <x:c r="Z32" s="106"/>
    </x:row>
    <x:row r="33">
      <x:c r="A33" s="106"/>
      <x:c r="B33" s="106"/>
      <x:c r="C33" s="106"/>
      <x:c r="D33" s="106"/>
      <x:c r="E33" s="106"/>
      <x:c r="F33" s="106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106"/>
      <x:c r="Q33" s="106"/>
      <x:c r="R33" s="106"/>
      <x:c r="S33" s="106"/>
      <x:c r="T33" s="106"/>
      <x:c r="U33" s="106"/>
      <x:c r="V33" s="106"/>
      <x:c r="W33" s="106"/>
      <x:c r="X33" s="106"/>
      <x:c r="Y33" s="106"/>
      <x:c r="Z33" s="106"/>
    </x:row>
    <x:row r="34">
      <x:c r="A34" s="106"/>
      <x:c r="B34" s="106"/>
      <x:c r="C34" s="106"/>
      <x:c r="D34" s="106"/>
      <x:c r="E34" s="106"/>
      <x:c r="F34" s="106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106"/>
      <x:c r="Q34" s="106"/>
      <x:c r="R34" s="106"/>
      <x:c r="S34" s="106"/>
      <x:c r="T34" s="106"/>
      <x:c r="U34" s="106"/>
      <x:c r="V34" s="106"/>
      <x:c r="W34" s="106"/>
      <x:c r="X34" s="106"/>
      <x:c r="Y34" s="106"/>
      <x:c r="Z34" s="106"/>
    </x:row>
    <x:row r="35">
      <x:c r="A35" s="106"/>
      <x:c r="B35" s="106"/>
      <x:c r="C35" s="106"/>
      <x:c r="D35" s="106"/>
      <x:c r="E35" s="106"/>
      <x:c r="F35" s="106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106"/>
      <x:c r="Q35" s="106"/>
      <x:c r="R35" s="106"/>
      <x:c r="S35" s="106"/>
      <x:c r="T35" s="106"/>
      <x:c r="U35" s="106"/>
      <x:c r="V35" s="106"/>
      <x:c r="W35" s="106"/>
      <x:c r="X35" s="106"/>
      <x:c r="Y35" s="106"/>
      <x:c r="Z35" s="106"/>
    </x:row>
    <x:row r="36">
      <x:c r="A36" s="106"/>
      <x:c r="B36" s="106"/>
      <x:c r="C36" s="106"/>
      <x:c r="D36" s="106"/>
      <x:c r="E36" s="106"/>
      <x:c r="F36" s="106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106"/>
      <x:c r="Q36" s="106"/>
      <x:c r="R36" s="106"/>
      <x:c r="S36" s="106"/>
      <x:c r="T36" s="106"/>
      <x:c r="U36" s="106"/>
      <x:c r="V36" s="106"/>
      <x:c r="W36" s="106"/>
      <x:c r="X36" s="106"/>
      <x:c r="Y36" s="106"/>
      <x:c r="Z36" s="106"/>
    </x:row>
    <x:row r="37">
      <x:c r="A37" s="106"/>
      <x:c r="B37" s="106"/>
      <x:c r="C37" s="106"/>
      <x:c r="D37" s="106"/>
      <x:c r="E37" s="106"/>
      <x:c r="F37" s="106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106"/>
      <x:c r="Q37" s="106"/>
      <x:c r="R37" s="106"/>
      <x:c r="S37" s="106"/>
      <x:c r="T37" s="106"/>
      <x:c r="U37" s="106"/>
      <x:c r="V37" s="106"/>
      <x:c r="W37" s="106"/>
      <x:c r="X37" s="106"/>
      <x:c r="Y37" s="106"/>
      <x:c r="Z37" s="106"/>
    </x:row>
    <x:row r="38">
      <x:c r="A38" s="106"/>
      <x:c r="B38" s="106"/>
      <x:c r="C38" s="106"/>
      <x:c r="D38" s="106"/>
      <x:c r="E38" s="106"/>
      <x:c r="F38" s="106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106"/>
      <x:c r="Q38" s="106"/>
      <x:c r="R38" s="106"/>
      <x:c r="S38" s="106"/>
      <x:c r="T38" s="106"/>
      <x:c r="U38" s="106"/>
      <x:c r="V38" s="106"/>
      <x:c r="W38" s="106"/>
      <x:c r="X38" s="106"/>
      <x:c r="Y38" s="106"/>
      <x:c r="Z38" s="106"/>
    </x:row>
    <x:row r="39">
      <x:c r="A39" s="106"/>
      <x:c r="B39" s="106"/>
      <x:c r="C39" s="106"/>
      <x:c r="D39" s="106"/>
      <x:c r="E39" s="106"/>
      <x:c r="F39" s="106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106"/>
      <x:c r="Q39" s="106"/>
      <x:c r="R39" s="106"/>
      <x:c r="S39" s="106"/>
      <x:c r="T39" s="106"/>
      <x:c r="U39" s="106"/>
      <x:c r="V39" s="106"/>
      <x:c r="W39" s="106"/>
      <x:c r="X39" s="106"/>
      <x:c r="Y39" s="106"/>
      <x:c r="Z39" s="106"/>
    </x:row>
    <x:row r="40">
      <x:c r="A40" s="106"/>
      <x:c r="B40" s="106"/>
      <x:c r="C40" s="106"/>
      <x:c r="D40" s="106"/>
      <x:c r="E40" s="106"/>
      <x:c r="F40" s="106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106"/>
      <x:c r="Q40" s="106"/>
      <x:c r="R40" s="106"/>
      <x:c r="S40" s="106"/>
      <x:c r="T40" s="106"/>
      <x:c r="U40" s="106"/>
      <x:c r="V40" s="106"/>
      <x:c r="W40" s="106"/>
      <x:c r="X40" s="106"/>
      <x:c r="Y40" s="106"/>
      <x:c r="Z40" s="106"/>
    </x:row>
    <x:row r="41">
      <x:c r="A41" s="106"/>
      <x:c r="B41" s="106"/>
      <x:c r="C41" s="106"/>
      <x:c r="D41" s="106"/>
      <x:c r="E41" s="106"/>
      <x:c r="F41" s="106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106"/>
      <x:c r="Q41" s="106"/>
      <x:c r="R41" s="106"/>
      <x:c r="S41" s="106"/>
      <x:c r="T41" s="106"/>
      <x:c r="U41" s="106"/>
      <x:c r="V41" s="106"/>
      <x:c r="W41" s="106"/>
      <x:c r="X41" s="106"/>
      <x:c r="Y41" s="106"/>
      <x:c r="Z41" s="106"/>
    </x:row>
    <x:row r="42">
      <x:c r="A42" s="106"/>
      <x:c r="B42" s="106"/>
      <x:c r="C42" s="106"/>
      <x:c r="D42" s="106"/>
      <x:c r="E42" s="106"/>
      <x:c r="F42" s="106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106"/>
      <x:c r="Q42" s="106"/>
      <x:c r="R42" s="106"/>
      <x:c r="S42" s="106"/>
      <x:c r="T42" s="106"/>
      <x:c r="U42" s="106"/>
      <x:c r="V42" s="106"/>
      <x:c r="W42" s="106"/>
      <x:c r="X42" s="106"/>
      <x:c r="Y42" s="106"/>
      <x:c r="Z42" s="106"/>
    </x:row>
    <x:row r="43">
      <x:c r="A43" s="106"/>
      <x:c r="B43" s="106"/>
      <x:c r="C43" s="106"/>
      <x:c r="D43" s="106"/>
      <x:c r="E43" s="106"/>
      <x:c r="F43" s="106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106"/>
      <x:c r="Q43" s="106"/>
      <x:c r="R43" s="106"/>
      <x:c r="S43" s="106"/>
      <x:c r="T43" s="106"/>
      <x:c r="U43" s="106"/>
      <x:c r="V43" s="106"/>
      <x:c r="W43" s="106"/>
      <x:c r="X43" s="106"/>
      <x:c r="Y43" s="106"/>
      <x:c r="Z43" s="106"/>
    </x:row>
    <x:row r="44">
      <x:c r="A44" s="106"/>
      <x:c r="B44" s="106"/>
      <x:c r="C44" s="106"/>
      <x:c r="D44" s="106"/>
      <x:c r="E44" s="106"/>
      <x:c r="F44" s="106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106"/>
      <x:c r="Q44" s="106"/>
      <x:c r="R44" s="106"/>
      <x:c r="S44" s="106"/>
      <x:c r="T44" s="106"/>
      <x:c r="U44" s="106"/>
      <x:c r="V44" s="106"/>
      <x:c r="W44" s="106"/>
      <x:c r="X44" s="106"/>
      <x:c r="Y44" s="106"/>
      <x:c r="Z44" s="106"/>
    </x:row>
    <x:row r="45">
      <x:c r="A45" s="106"/>
      <x:c r="B45" s="106"/>
      <x:c r="C45" s="106"/>
      <x:c r="D45" s="106"/>
      <x:c r="E45" s="106"/>
      <x:c r="F45" s="106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106"/>
      <x:c r="Q45" s="106"/>
      <x:c r="R45" s="106"/>
      <x:c r="S45" s="106"/>
      <x:c r="T45" s="106"/>
      <x:c r="U45" s="106"/>
      <x:c r="V45" s="106"/>
      <x:c r="W45" s="106"/>
      <x:c r="X45" s="106"/>
      <x:c r="Y45" s="106"/>
      <x:c r="Z45" s="106"/>
    </x:row>
    <x:row r="46">
      <x:c r="A46" s="106"/>
      <x:c r="B46" s="106"/>
      <x:c r="C46" s="106"/>
      <x:c r="D46" s="106"/>
      <x:c r="E46" s="106"/>
      <x:c r="F46" s="106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106"/>
      <x:c r="Q46" s="106"/>
      <x:c r="R46" s="106"/>
      <x:c r="S46" s="106"/>
      <x:c r="T46" s="106"/>
      <x:c r="U46" s="106"/>
      <x:c r="V46" s="106"/>
      <x:c r="W46" s="106"/>
      <x:c r="X46" s="106"/>
      <x:c r="Y46" s="106"/>
      <x:c r="Z46" s="106"/>
    </x:row>
    <x:row r="47">
      <x:c r="A47" s="106"/>
      <x:c r="B47" s="106"/>
      <x:c r="C47" s="106"/>
      <x:c r="D47" s="106"/>
      <x:c r="E47" s="106"/>
      <x:c r="F47" s="106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106"/>
      <x:c r="Q47" s="106"/>
      <x:c r="R47" s="106"/>
      <x:c r="S47" s="106"/>
      <x:c r="T47" s="106"/>
      <x:c r="U47" s="106"/>
      <x:c r="V47" s="106"/>
      <x:c r="W47" s="106"/>
      <x:c r="X47" s="106"/>
      <x:c r="Y47" s="106"/>
      <x:c r="Z47" s="106"/>
    </x:row>
    <x:row r="48">
      <x:c r="A48" s="106"/>
      <x:c r="B48" s="106"/>
      <x:c r="C48" s="106"/>
      <x:c r="D48" s="106"/>
      <x:c r="E48" s="106"/>
      <x:c r="F48" s="106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106"/>
      <x:c r="Q48" s="106"/>
      <x:c r="R48" s="106"/>
      <x:c r="S48" s="106"/>
      <x:c r="T48" s="106"/>
      <x:c r="U48" s="106"/>
      <x:c r="V48" s="106"/>
      <x:c r="W48" s="106"/>
      <x:c r="X48" s="106"/>
      <x:c r="Y48" s="106"/>
      <x:c r="Z48" s="106"/>
    </x:row>
    <x:row r="49">
      <x:c r="A49" s="106"/>
      <x:c r="B49" s="106"/>
      <x:c r="C49" s="106"/>
      <x:c r="D49" s="106"/>
      <x:c r="E49" s="106"/>
      <x:c r="F49" s="106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106"/>
      <x:c r="Q49" s="106"/>
      <x:c r="R49" s="106"/>
      <x:c r="S49" s="106"/>
      <x:c r="T49" s="106"/>
      <x:c r="U49" s="106"/>
      <x:c r="V49" s="106"/>
      <x:c r="W49" s="106"/>
      <x:c r="X49" s="106"/>
      <x:c r="Y49" s="106"/>
      <x:c r="Z49" s="106"/>
    </x:row>
    <x:row r="50">
      <x:c r="A50" s="106"/>
      <x:c r="B50" s="106"/>
      <x:c r="C50" s="106"/>
      <x:c r="D50" s="106"/>
      <x:c r="E50" s="106"/>
      <x:c r="F50" s="106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106"/>
      <x:c r="Q50" s="106"/>
      <x:c r="R50" s="106"/>
      <x:c r="S50" s="106"/>
      <x:c r="T50" s="106"/>
      <x:c r="U50" s="106"/>
      <x:c r="V50" s="106"/>
      <x:c r="W50" s="106"/>
      <x:c r="X50" s="106"/>
      <x:c r="Y50" s="106"/>
      <x:c r="Z50" s="106"/>
    </x:row>
    <x:row r="51">
      <x:c r="A51" s="106"/>
      <x:c r="B51" s="106"/>
      <x:c r="C51" s="106"/>
      <x:c r="D51" s="106"/>
      <x:c r="E51" s="106"/>
      <x:c r="F51" s="106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106"/>
      <x:c r="Q51" s="106"/>
      <x:c r="R51" s="106"/>
      <x:c r="S51" s="106"/>
      <x:c r="T51" s="106"/>
      <x:c r="U51" s="106"/>
      <x:c r="V51" s="106"/>
      <x:c r="W51" s="106"/>
      <x:c r="X51" s="106"/>
      <x:c r="Y51" s="106"/>
      <x:c r="Z51" s="106"/>
    </x:row>
    <x:row r="52">
      <x:c r="A52" s="106"/>
      <x:c r="B52" s="106"/>
      <x:c r="C52" s="106"/>
      <x:c r="D52" s="106"/>
      <x:c r="E52" s="106"/>
      <x:c r="F52" s="106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106"/>
      <x:c r="Q52" s="106"/>
      <x:c r="R52" s="106"/>
      <x:c r="S52" s="106"/>
      <x:c r="T52" s="106"/>
      <x:c r="U52" s="106"/>
      <x:c r="V52" s="106"/>
      <x:c r="W52" s="106"/>
      <x:c r="X52" s="106"/>
      <x:c r="Y52" s="106"/>
      <x:c r="Z52" s="106"/>
    </x:row>
    <x:row r="53">
      <x:c r="A53" s="106"/>
      <x:c r="B53" s="106"/>
      <x:c r="C53" s="106"/>
      <x:c r="D53" s="106"/>
      <x:c r="E53" s="106"/>
      <x:c r="F53" s="106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106"/>
      <x:c r="Q53" s="106"/>
      <x:c r="R53" s="106"/>
      <x:c r="S53" s="106"/>
      <x:c r="T53" s="106"/>
      <x:c r="U53" s="106"/>
      <x:c r="V53" s="106"/>
      <x:c r="W53" s="106"/>
      <x:c r="X53" s="106"/>
      <x:c r="Y53" s="106"/>
      <x:c r="Z53" s="106"/>
    </x:row>
    <x:row r="54">
      <x:c r="A54" s="106"/>
      <x:c r="B54" s="106"/>
      <x:c r="C54" s="106"/>
      <x:c r="D54" s="106"/>
      <x:c r="E54" s="106"/>
      <x:c r="F54" s="106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106"/>
      <x:c r="Q54" s="106"/>
      <x:c r="R54" s="106"/>
      <x:c r="S54" s="106"/>
      <x:c r="T54" s="106"/>
      <x:c r="U54" s="106"/>
      <x:c r="V54" s="106"/>
      <x:c r="W54" s="106"/>
      <x:c r="X54" s="106"/>
      <x:c r="Y54" s="106"/>
      <x:c r="Z54" s="106"/>
    </x:row>
    <x:row r="55">
      <x:c r="A55" s="106"/>
      <x:c r="B55" s="106"/>
      <x:c r="C55" s="106"/>
      <x:c r="D55" s="106"/>
      <x:c r="E55" s="106"/>
      <x:c r="F55" s="106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106"/>
      <x:c r="Q55" s="106"/>
      <x:c r="R55" s="106"/>
      <x:c r="S55" s="106"/>
      <x:c r="T55" s="106"/>
      <x:c r="U55" s="106"/>
      <x:c r="V55" s="106"/>
      <x:c r="W55" s="106"/>
      <x:c r="X55" s="106"/>
      <x:c r="Y55" s="106"/>
      <x:c r="Z55" s="106"/>
    </x:row>
    <x:row r="56">
      <x:c r="A56" s="106"/>
      <x:c r="B56" s="106"/>
      <x:c r="C56" s="106"/>
      <x:c r="D56" s="106"/>
      <x:c r="E56" s="106"/>
      <x:c r="F56" s="106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106"/>
      <x:c r="Q56" s="106"/>
      <x:c r="R56" s="106"/>
      <x:c r="S56" s="106"/>
      <x:c r="T56" s="106"/>
      <x:c r="U56" s="106"/>
      <x:c r="V56" s="106"/>
      <x:c r="W56" s="106"/>
      <x:c r="X56" s="106"/>
      <x:c r="Y56" s="106"/>
      <x:c r="Z56" s="106"/>
    </x:row>
    <x:row r="57">
      <x:c r="A57" s="106"/>
      <x:c r="B57" s="106"/>
      <x:c r="C57" s="106"/>
      <x:c r="D57" s="106"/>
      <x:c r="E57" s="106"/>
      <x:c r="F57" s="106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106"/>
      <x:c r="Q57" s="106"/>
      <x:c r="R57" s="106"/>
      <x:c r="S57" s="106"/>
      <x:c r="T57" s="106"/>
      <x:c r="U57" s="106"/>
      <x:c r="V57" s="106"/>
      <x:c r="W57" s="106"/>
      <x:c r="X57" s="106"/>
      <x:c r="Y57" s="106"/>
      <x:c r="Z57" s="106"/>
    </x:row>
    <x:row r="58">
      <x:c r="A58" s="106"/>
      <x:c r="B58" s="106"/>
      <x:c r="C58" s="106"/>
      <x:c r="D58" s="106"/>
      <x:c r="E58" s="106"/>
      <x:c r="F58" s="106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106"/>
      <x:c r="Q58" s="106"/>
      <x:c r="R58" s="106"/>
      <x:c r="S58" s="106"/>
      <x:c r="T58" s="106"/>
      <x:c r="U58" s="106"/>
      <x:c r="V58" s="106"/>
      <x:c r="W58" s="106"/>
      <x:c r="X58" s="106"/>
      <x:c r="Y58" s="106"/>
      <x:c r="Z58" s="106"/>
    </x:row>
    <x:row r="59">
      <x:c r="A59" s="106"/>
      <x:c r="B59" s="106"/>
      <x:c r="C59" s="106"/>
      <x:c r="D59" s="106"/>
      <x:c r="E59" s="106"/>
      <x:c r="F59" s="106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106"/>
      <x:c r="Q59" s="106"/>
      <x:c r="R59" s="106"/>
      <x:c r="S59" s="106"/>
      <x:c r="T59" s="106"/>
      <x:c r="U59" s="106"/>
      <x:c r="V59" s="106"/>
      <x:c r="W59" s="106"/>
      <x:c r="X59" s="106"/>
      <x:c r="Y59" s="106"/>
      <x:c r="Z59" s="106"/>
    </x:row>
    <x:row r="60">
      <x:c r="A60" s="106"/>
      <x:c r="B60" s="106"/>
      <x:c r="C60" s="106"/>
      <x:c r="D60" s="106"/>
      <x:c r="E60" s="106"/>
      <x:c r="F60" s="106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106"/>
      <x:c r="Q60" s="106"/>
      <x:c r="R60" s="106"/>
      <x:c r="S60" s="106"/>
      <x:c r="T60" s="106"/>
      <x:c r="U60" s="106"/>
      <x:c r="V60" s="106"/>
      <x:c r="W60" s="106"/>
      <x:c r="X60" s="106"/>
      <x:c r="Y60" s="106"/>
      <x:c r="Z60" s="106"/>
    </x:row>
    <x:row r="61">
      <x:c r="A61" s="106"/>
      <x:c r="B61" s="106"/>
      <x:c r="C61" s="106"/>
      <x:c r="D61" s="106"/>
      <x:c r="E61" s="106"/>
      <x:c r="F61" s="106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106"/>
      <x:c r="Q61" s="106"/>
      <x:c r="R61" s="106"/>
      <x:c r="S61" s="106"/>
      <x:c r="T61" s="106"/>
      <x:c r="U61" s="106"/>
      <x:c r="V61" s="106"/>
      <x:c r="W61" s="106"/>
      <x:c r="X61" s="106"/>
      <x:c r="Y61" s="106"/>
      <x:c r="Z61" s="106"/>
    </x:row>
    <x:row r="62">
      <x:c r="A62" s="106"/>
      <x:c r="B62" s="106"/>
      <x:c r="C62" s="106"/>
      <x:c r="D62" s="106"/>
      <x:c r="E62" s="106"/>
      <x:c r="F62" s="106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106"/>
      <x:c r="Q62" s="106"/>
      <x:c r="R62" s="106"/>
      <x:c r="S62" s="106"/>
      <x:c r="T62" s="106"/>
      <x:c r="U62" s="106"/>
      <x:c r="V62" s="106"/>
      <x:c r="W62" s="106"/>
      <x:c r="X62" s="106"/>
      <x:c r="Y62" s="106"/>
      <x:c r="Z62" s="106"/>
    </x:row>
    <x:row r="63">
      <x:c r="A63" s="106"/>
      <x:c r="B63" s="106"/>
      <x:c r="C63" s="106"/>
      <x:c r="D63" s="106"/>
      <x:c r="E63" s="106"/>
      <x:c r="F63" s="106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106"/>
      <x:c r="Q63" s="106"/>
      <x:c r="R63" s="106"/>
      <x:c r="S63" s="106"/>
      <x:c r="T63" s="106"/>
      <x:c r="U63" s="106"/>
      <x:c r="V63" s="106"/>
      <x:c r="W63" s="106"/>
      <x:c r="X63" s="106"/>
      <x:c r="Y63" s="106"/>
      <x:c r="Z63" s="106"/>
    </x:row>
    <x:row r="64">
      <x:c r="A64" s="106"/>
      <x:c r="B64" s="106"/>
      <x:c r="C64" s="106"/>
      <x:c r="D64" s="106"/>
      <x:c r="E64" s="106"/>
      <x:c r="F64" s="106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106"/>
      <x:c r="Q64" s="106"/>
      <x:c r="R64" s="106"/>
      <x:c r="S64" s="106"/>
      <x:c r="T64" s="106"/>
      <x:c r="U64" s="106"/>
      <x:c r="V64" s="106"/>
      <x:c r="W64" s="106"/>
      <x:c r="X64" s="106"/>
      <x:c r="Y64" s="106"/>
      <x:c r="Z64" s="106"/>
    </x:row>
    <x:row r="65">
      <x:c r="A65" s="106"/>
      <x:c r="B65" s="106"/>
      <x:c r="C65" s="106"/>
      <x:c r="D65" s="106"/>
      <x:c r="E65" s="106"/>
      <x:c r="F65" s="106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106"/>
      <x:c r="Q65" s="106"/>
      <x:c r="R65" s="106"/>
      <x:c r="S65" s="106"/>
      <x:c r="T65" s="106"/>
      <x:c r="U65" s="106"/>
      <x:c r="V65" s="106"/>
      <x:c r="W65" s="106"/>
      <x:c r="X65" s="106"/>
      <x:c r="Y65" s="106"/>
      <x:c r="Z65" s="106"/>
    </x:row>
    <x:row r="66">
      <x:c r="A66" s="106"/>
      <x:c r="B66" s="106"/>
      <x:c r="C66" s="106"/>
      <x:c r="D66" s="106"/>
      <x:c r="E66" s="106"/>
      <x:c r="F66" s="106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106"/>
      <x:c r="Q66" s="106"/>
      <x:c r="R66" s="106"/>
      <x:c r="S66" s="106"/>
      <x:c r="T66" s="106"/>
      <x:c r="U66" s="106"/>
      <x:c r="V66" s="106"/>
      <x:c r="W66" s="106"/>
      <x:c r="X66" s="106"/>
      <x:c r="Y66" s="106"/>
      <x:c r="Z66" s="106"/>
    </x:row>
    <x:row r="67">
      <x:c r="A67" s="106"/>
      <x:c r="B67" s="106"/>
      <x:c r="C67" s="106"/>
      <x:c r="D67" s="106"/>
      <x:c r="E67" s="106"/>
      <x:c r="F67" s="106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106"/>
      <x:c r="Q67" s="106"/>
      <x:c r="R67" s="106"/>
      <x:c r="S67" s="106"/>
      <x:c r="T67" s="106"/>
      <x:c r="U67" s="106"/>
      <x:c r="V67" s="106"/>
      <x:c r="W67" s="106"/>
      <x:c r="X67" s="106"/>
      <x:c r="Y67" s="106"/>
      <x:c r="Z67" s="106"/>
    </x:row>
    <x:row r="68">
      <x:c r="A68" s="106"/>
      <x:c r="B68" s="106"/>
      <x:c r="C68" s="106"/>
      <x:c r="D68" s="106"/>
      <x:c r="E68" s="106"/>
      <x:c r="F68" s="106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106"/>
      <x:c r="Q68" s="106"/>
      <x:c r="R68" s="106"/>
      <x:c r="S68" s="106"/>
      <x:c r="T68" s="106"/>
      <x:c r="U68" s="106"/>
      <x:c r="V68" s="106"/>
      <x:c r="W68" s="106"/>
      <x:c r="X68" s="106"/>
      <x:c r="Y68" s="106"/>
      <x:c r="Z68" s="106"/>
    </x:row>
    <x:row r="69">
      <x:c r="A69" s="106"/>
      <x:c r="B69" s="106"/>
      <x:c r="C69" s="106"/>
      <x:c r="D69" s="106"/>
      <x:c r="E69" s="106"/>
      <x:c r="F69" s="106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106"/>
      <x:c r="Q69" s="106"/>
      <x:c r="R69" s="106"/>
      <x:c r="S69" s="106"/>
      <x:c r="T69" s="106"/>
      <x:c r="U69" s="106"/>
      <x:c r="V69" s="106"/>
      <x:c r="W69" s="106"/>
      <x:c r="X69" s="106"/>
      <x:c r="Y69" s="106"/>
      <x:c r="Z69" s="106"/>
    </x:row>
    <x:row r="70">
      <x:c r="A70" s="106"/>
      <x:c r="B70" s="106"/>
      <x:c r="C70" s="106"/>
      <x:c r="D70" s="106"/>
      <x:c r="E70" s="106"/>
      <x:c r="F70" s="106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106"/>
      <x:c r="Q70" s="106"/>
      <x:c r="R70" s="106"/>
      <x:c r="S70" s="106"/>
      <x:c r="T70" s="106"/>
      <x:c r="U70" s="106"/>
      <x:c r="V70" s="106"/>
      <x:c r="W70" s="106"/>
      <x:c r="X70" s="106"/>
      <x:c r="Y70" s="106"/>
      <x:c r="Z70" s="106"/>
    </x:row>
    <x:row r="71">
      <x:c r="A71" s="106"/>
      <x:c r="B71" s="106"/>
      <x:c r="C71" s="106"/>
      <x:c r="D71" s="106"/>
      <x:c r="E71" s="106"/>
      <x:c r="F71" s="106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106"/>
      <x:c r="Q71" s="106"/>
      <x:c r="R71" s="106"/>
      <x:c r="S71" s="106"/>
      <x:c r="T71" s="106"/>
      <x:c r="U71" s="106"/>
      <x:c r="V71" s="106"/>
      <x:c r="W71" s="106"/>
      <x:c r="X71" s="106"/>
      <x:c r="Y71" s="106"/>
      <x:c r="Z71" s="106"/>
    </x:row>
    <x:row r="72">
      <x:c r="A72" s="106"/>
      <x:c r="B72" s="106"/>
      <x:c r="C72" s="106"/>
      <x:c r="D72" s="106"/>
      <x:c r="E72" s="106"/>
      <x:c r="F72" s="106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106"/>
      <x:c r="Q72" s="106"/>
      <x:c r="R72" s="106"/>
      <x:c r="S72" s="106"/>
      <x:c r="T72" s="106"/>
      <x:c r="U72" s="106"/>
      <x:c r="V72" s="106"/>
      <x:c r="W72" s="106"/>
      <x:c r="X72" s="106"/>
      <x:c r="Y72" s="106"/>
      <x:c r="Z72" s="106"/>
    </x:row>
    <x:row r="73">
      <x:c r="A73" s="106"/>
      <x:c r="B73" s="106"/>
      <x:c r="C73" s="106"/>
      <x:c r="D73" s="106"/>
      <x:c r="E73" s="106"/>
      <x:c r="F73" s="106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106"/>
      <x:c r="Q73" s="106"/>
      <x:c r="R73" s="106"/>
      <x:c r="S73" s="106"/>
      <x:c r="T73" s="106"/>
      <x:c r="U73" s="106"/>
      <x:c r="V73" s="106"/>
      <x:c r="W73" s="106"/>
      <x:c r="X73" s="106"/>
      <x:c r="Y73" s="106"/>
      <x:c r="Z73" s="106"/>
    </x:row>
    <x:row r="74">
      <x:c r="A74" s="106"/>
      <x:c r="B74" s="106"/>
      <x:c r="C74" s="106"/>
      <x:c r="D74" s="106"/>
      <x:c r="E74" s="106"/>
      <x:c r="F74" s="106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106"/>
      <x:c r="Q74" s="106"/>
      <x:c r="R74" s="106"/>
      <x:c r="S74" s="106"/>
      <x:c r="T74" s="106"/>
      <x:c r="U74" s="106"/>
      <x:c r="V74" s="106"/>
      <x:c r="W74" s="106"/>
      <x:c r="X74" s="106"/>
      <x:c r="Y74" s="106"/>
      <x:c r="Z74" s="106"/>
    </x:row>
    <x:row r="75">
      <x:c r="A75" s="106"/>
      <x:c r="B75" s="106"/>
      <x:c r="C75" s="106"/>
      <x:c r="D75" s="106"/>
      <x:c r="E75" s="106"/>
      <x:c r="F75" s="106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106"/>
      <x:c r="Q75" s="106"/>
      <x:c r="R75" s="106"/>
      <x:c r="S75" s="106"/>
      <x:c r="T75" s="106"/>
      <x:c r="U75" s="106"/>
      <x:c r="V75" s="106"/>
      <x:c r="W75" s="106"/>
      <x:c r="X75" s="106"/>
      <x:c r="Y75" s="106"/>
      <x:c r="Z75" s="106"/>
    </x:row>
    <x:row r="76">
      <x:c r="A76" s="106"/>
      <x:c r="B76" s="106"/>
      <x:c r="C76" s="106"/>
      <x:c r="D76" s="106"/>
      <x:c r="E76" s="106"/>
      <x:c r="F76" s="106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106"/>
      <x:c r="Q76" s="106"/>
      <x:c r="R76" s="106"/>
      <x:c r="S76" s="106"/>
      <x:c r="T76" s="106"/>
      <x:c r="U76" s="106"/>
      <x:c r="V76" s="106"/>
      <x:c r="W76" s="106"/>
      <x:c r="X76" s="106"/>
      <x:c r="Y76" s="106"/>
      <x:c r="Z76" s="106"/>
    </x:row>
    <x:row r="77">
      <x:c r="A77" s="106"/>
      <x:c r="B77" s="106"/>
      <x:c r="C77" s="106"/>
      <x:c r="D77" s="106"/>
      <x:c r="E77" s="106"/>
      <x:c r="F77" s="106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106"/>
      <x:c r="Q77" s="106"/>
      <x:c r="R77" s="106"/>
      <x:c r="S77" s="106"/>
      <x:c r="T77" s="106"/>
      <x:c r="U77" s="106"/>
      <x:c r="V77" s="106"/>
      <x:c r="W77" s="106"/>
      <x:c r="X77" s="106"/>
      <x:c r="Y77" s="106"/>
      <x:c r="Z77" s="106"/>
    </x:row>
    <x:row r="78">
      <x:c r="A78" s="106"/>
      <x:c r="B78" s="106"/>
      <x:c r="C78" s="106"/>
      <x:c r="D78" s="106"/>
      <x:c r="E78" s="106"/>
      <x:c r="F78" s="106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106"/>
      <x:c r="Q78" s="106"/>
      <x:c r="R78" s="106"/>
      <x:c r="S78" s="106"/>
      <x:c r="T78" s="106"/>
      <x:c r="U78" s="106"/>
      <x:c r="V78" s="106"/>
      <x:c r="W78" s="106"/>
      <x:c r="X78" s="106"/>
      <x:c r="Y78" s="106"/>
      <x:c r="Z78" s="106"/>
    </x:row>
    <x:row r="79">
      <x:c r="A79" s="106"/>
      <x:c r="B79" s="106"/>
      <x:c r="C79" s="106"/>
      <x:c r="D79" s="106"/>
      <x:c r="E79" s="106"/>
      <x:c r="F79" s="106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106"/>
      <x:c r="Q79" s="106"/>
      <x:c r="R79" s="106"/>
      <x:c r="S79" s="106"/>
      <x:c r="T79" s="106"/>
      <x:c r="U79" s="106"/>
      <x:c r="V79" s="106"/>
      <x:c r="W79" s="106"/>
      <x:c r="X79" s="106"/>
      <x:c r="Y79" s="106"/>
      <x:c r="Z79" s="106"/>
    </x:row>
    <x:row r="80">
      <x:c r="A80" s="106"/>
      <x:c r="B80" s="106"/>
      <x:c r="C80" s="106"/>
      <x:c r="D80" s="106"/>
      <x:c r="E80" s="106"/>
      <x:c r="F80" s="106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106"/>
      <x:c r="Q80" s="106"/>
      <x:c r="R80" s="106"/>
      <x:c r="S80" s="106"/>
      <x:c r="T80" s="106"/>
      <x:c r="U80" s="106"/>
      <x:c r="V80" s="106"/>
      <x:c r="W80" s="106"/>
      <x:c r="X80" s="106"/>
      <x:c r="Y80" s="106"/>
      <x:c r="Z80" s="106"/>
    </x:row>
    <x:row r="81">
      <x:c r="A81" s="106"/>
      <x:c r="B81" s="106"/>
      <x:c r="C81" s="106"/>
      <x:c r="D81" s="106"/>
      <x:c r="E81" s="106"/>
      <x:c r="F81" s="106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106"/>
      <x:c r="Q81" s="106"/>
      <x:c r="R81" s="106"/>
      <x:c r="S81" s="106"/>
      <x:c r="T81" s="106"/>
      <x:c r="U81" s="106"/>
      <x:c r="V81" s="106"/>
      <x:c r="W81" s="106"/>
      <x:c r="X81" s="106"/>
      <x:c r="Y81" s="106"/>
      <x:c r="Z81" s="106"/>
    </x:row>
    <x:row r="82">
      <x:c r="A82" s="106"/>
      <x:c r="B82" s="106"/>
      <x:c r="C82" s="106"/>
      <x:c r="D82" s="106"/>
      <x:c r="E82" s="106"/>
      <x:c r="F82" s="106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106"/>
      <x:c r="Q82" s="106"/>
      <x:c r="R82" s="106"/>
      <x:c r="S82" s="106"/>
      <x:c r="T82" s="106"/>
      <x:c r="U82" s="106"/>
      <x:c r="V82" s="106"/>
      <x:c r="W82" s="106"/>
      <x:c r="X82" s="106"/>
      <x:c r="Y82" s="106"/>
      <x:c r="Z82" s="106"/>
    </x:row>
    <x:row r="83">
      <x:c r="A83" s="106"/>
      <x:c r="B83" s="106"/>
      <x:c r="C83" s="106"/>
      <x:c r="D83" s="106"/>
      <x:c r="E83" s="106"/>
      <x:c r="F83" s="106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106"/>
      <x:c r="Q83" s="106"/>
      <x:c r="R83" s="106"/>
      <x:c r="S83" s="106"/>
      <x:c r="T83" s="106"/>
      <x:c r="U83" s="106"/>
      <x:c r="V83" s="106"/>
      <x:c r="W83" s="106"/>
      <x:c r="X83" s="106"/>
      <x:c r="Y83" s="106"/>
      <x:c r="Z83" s="106"/>
    </x:row>
    <x:row r="84">
      <x:c r="A84" s="106"/>
      <x:c r="B84" s="106"/>
      <x:c r="C84" s="106"/>
      <x:c r="D84" s="106"/>
      <x:c r="E84" s="106"/>
      <x:c r="F84" s="106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106"/>
      <x:c r="Q84" s="106"/>
      <x:c r="R84" s="106"/>
      <x:c r="S84" s="106"/>
      <x:c r="T84" s="106"/>
      <x:c r="U84" s="106"/>
      <x:c r="V84" s="106"/>
      <x:c r="W84" s="106"/>
      <x:c r="X84" s="106"/>
      <x:c r="Y84" s="106"/>
      <x:c r="Z84" s="106"/>
    </x:row>
    <x:row r="85">
      <x:c r="A85" s="106"/>
      <x:c r="B85" s="106"/>
      <x:c r="C85" s="106"/>
      <x:c r="D85" s="106"/>
      <x:c r="E85" s="106"/>
      <x:c r="F85" s="106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106"/>
      <x:c r="Q85" s="106"/>
      <x:c r="R85" s="106"/>
      <x:c r="S85" s="106"/>
      <x:c r="T85" s="106"/>
      <x:c r="U85" s="106"/>
      <x:c r="V85" s="106"/>
      <x:c r="W85" s="106"/>
      <x:c r="X85" s="106"/>
      <x:c r="Y85" s="106"/>
      <x:c r="Z85" s="106"/>
    </x:row>
    <x:row r="86">
      <x:c r="A86" s="106"/>
      <x:c r="B86" s="106"/>
      <x:c r="C86" s="106"/>
      <x:c r="D86" s="106"/>
      <x:c r="E86" s="106"/>
      <x:c r="F86" s="106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106"/>
      <x:c r="Q86" s="106"/>
      <x:c r="R86" s="106"/>
      <x:c r="S86" s="106"/>
      <x:c r="T86" s="106"/>
      <x:c r="U86" s="106"/>
      <x:c r="V86" s="106"/>
      <x:c r="W86" s="106"/>
      <x:c r="X86" s="106"/>
      <x:c r="Y86" s="106"/>
      <x:c r="Z86" s="106"/>
    </x:row>
    <x:row r="87">
      <x:c r="A87" s="106"/>
      <x:c r="B87" s="106"/>
      <x:c r="C87" s="106"/>
      <x:c r="D87" s="106"/>
      <x:c r="E87" s="106"/>
      <x:c r="F87" s="106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106"/>
      <x:c r="Q87" s="106"/>
      <x:c r="R87" s="106"/>
      <x:c r="S87" s="106"/>
      <x:c r="T87" s="106"/>
      <x:c r="U87" s="106"/>
      <x:c r="V87" s="106"/>
      <x:c r="W87" s="106"/>
      <x:c r="X87" s="106"/>
      <x:c r="Y87" s="106"/>
      <x:c r="Z87" s="106"/>
    </x:row>
    <x:row r="88">
      <x:c r="A88" s="106"/>
      <x:c r="B88" s="106"/>
      <x:c r="C88" s="106"/>
      <x:c r="D88" s="106"/>
      <x:c r="E88" s="106"/>
      <x:c r="F88" s="106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106"/>
      <x:c r="Q88" s="106"/>
      <x:c r="R88" s="106"/>
      <x:c r="S88" s="106"/>
      <x:c r="T88" s="106"/>
      <x:c r="U88" s="106"/>
      <x:c r="V88" s="106"/>
      <x:c r="W88" s="106"/>
      <x:c r="X88" s="106"/>
      <x:c r="Y88" s="106"/>
      <x:c r="Z88" s="106"/>
    </x:row>
    <x:row r="89">
      <x:c r="A89" s="106"/>
      <x:c r="B89" s="106"/>
      <x:c r="C89" s="106"/>
      <x:c r="D89" s="106"/>
      <x:c r="E89" s="106"/>
      <x:c r="F89" s="106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106"/>
      <x:c r="Q89" s="106"/>
      <x:c r="R89" s="106"/>
      <x:c r="S89" s="106"/>
      <x:c r="T89" s="106"/>
      <x:c r="U89" s="106"/>
      <x:c r="V89" s="106"/>
      <x:c r="W89" s="106"/>
      <x:c r="X89" s="106"/>
      <x:c r="Y89" s="106"/>
      <x:c r="Z89" s="106"/>
    </x:row>
    <x:row r="90">
      <x:c r="A90" s="106"/>
      <x:c r="B90" s="106"/>
      <x:c r="C90" s="106"/>
      <x:c r="D90" s="106"/>
      <x:c r="E90" s="106"/>
      <x:c r="F90" s="106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106"/>
      <x:c r="Q90" s="106"/>
      <x:c r="R90" s="106"/>
      <x:c r="S90" s="106"/>
      <x:c r="T90" s="106"/>
      <x:c r="U90" s="106"/>
      <x:c r="V90" s="106"/>
      <x:c r="W90" s="106"/>
      <x:c r="X90" s="106"/>
      <x:c r="Y90" s="106"/>
      <x:c r="Z90" s="106"/>
    </x:row>
    <x:row r="91">
      <x:c r="A91" s="106"/>
      <x:c r="B91" s="106"/>
      <x:c r="C91" s="106"/>
      <x:c r="D91" s="106"/>
      <x:c r="E91" s="106"/>
      <x:c r="F91" s="106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106"/>
      <x:c r="Q91" s="106"/>
      <x:c r="R91" s="106"/>
      <x:c r="S91" s="106"/>
      <x:c r="T91" s="106"/>
      <x:c r="U91" s="106"/>
      <x:c r="V91" s="106"/>
      <x:c r="W91" s="106"/>
      <x:c r="X91" s="106"/>
      <x:c r="Y91" s="106"/>
      <x:c r="Z91" s="106"/>
    </x:row>
    <x:row r="92">
      <x:c r="A92" s="106"/>
      <x:c r="B92" s="106"/>
      <x:c r="C92" s="106"/>
      <x:c r="D92" s="106"/>
      <x:c r="E92" s="106"/>
      <x:c r="F92" s="106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106"/>
      <x:c r="Q92" s="106"/>
      <x:c r="R92" s="106"/>
      <x:c r="S92" s="106"/>
      <x:c r="T92" s="106"/>
      <x:c r="U92" s="106"/>
      <x:c r="V92" s="106"/>
      <x:c r="W92" s="106"/>
      <x:c r="X92" s="106"/>
      <x:c r="Y92" s="106"/>
      <x:c r="Z92" s="106"/>
    </x:row>
    <x:row r="93">
      <x:c r="A93" s="106"/>
      <x:c r="B93" s="106"/>
      <x:c r="C93" s="106"/>
      <x:c r="D93" s="106"/>
      <x:c r="E93" s="106"/>
      <x:c r="F93" s="106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106"/>
      <x:c r="Q93" s="106"/>
      <x:c r="R93" s="106"/>
      <x:c r="S93" s="106"/>
      <x:c r="T93" s="106"/>
      <x:c r="U93" s="106"/>
      <x:c r="V93" s="106"/>
      <x:c r="W93" s="106"/>
      <x:c r="X93" s="106"/>
      <x:c r="Y93" s="106"/>
      <x:c r="Z93" s="106"/>
    </x:row>
    <x:row r="94">
      <x:c r="A94" s="106"/>
      <x:c r="B94" s="106"/>
      <x:c r="C94" s="106"/>
      <x:c r="D94" s="106"/>
      <x:c r="E94" s="106"/>
      <x:c r="F94" s="106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106"/>
      <x:c r="Q94" s="106"/>
      <x:c r="R94" s="106"/>
      <x:c r="S94" s="106"/>
      <x:c r="T94" s="106"/>
      <x:c r="U94" s="106"/>
      <x:c r="V94" s="106"/>
      <x:c r="W94" s="106"/>
      <x:c r="X94" s="106"/>
      <x:c r="Y94" s="106"/>
      <x:c r="Z94" s="106"/>
    </x:row>
    <x:row r="95">
      <x:c r="A95" s="106"/>
      <x:c r="B95" s="106"/>
      <x:c r="C95" s="106"/>
      <x:c r="D95" s="106"/>
      <x:c r="E95" s="106"/>
      <x:c r="F95" s="106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106"/>
      <x:c r="Q95" s="106"/>
      <x:c r="R95" s="106"/>
      <x:c r="S95" s="106"/>
      <x:c r="T95" s="106"/>
      <x:c r="U95" s="106"/>
      <x:c r="V95" s="106"/>
      <x:c r="W95" s="106"/>
      <x:c r="X95" s="106"/>
      <x:c r="Y95" s="106"/>
      <x:c r="Z95" s="106"/>
    </x:row>
    <x:row r="96">
      <x:c r="A96" s="106"/>
      <x:c r="B96" s="106"/>
      <x:c r="C96" s="106"/>
      <x:c r="D96" s="106"/>
      <x:c r="E96" s="106"/>
      <x:c r="F96" s="106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106"/>
      <x:c r="Q96" s="106"/>
      <x:c r="R96" s="106"/>
      <x:c r="S96" s="106"/>
      <x:c r="T96" s="106"/>
      <x:c r="U96" s="106"/>
      <x:c r="V96" s="106"/>
      <x:c r="W96" s="106"/>
      <x:c r="X96" s="106"/>
      <x:c r="Y96" s="106"/>
      <x:c r="Z96" s="106"/>
    </x:row>
    <x:row r="97">
      <x:c r="A97" s="106"/>
      <x:c r="B97" s="106"/>
      <x:c r="C97" s="106"/>
      <x:c r="D97" s="106"/>
      <x:c r="E97" s="106"/>
      <x:c r="F97" s="106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106"/>
      <x:c r="Q97" s="106"/>
      <x:c r="R97" s="106"/>
      <x:c r="S97" s="106"/>
      <x:c r="T97" s="106"/>
      <x:c r="U97" s="106"/>
      <x:c r="V97" s="106"/>
      <x:c r="W97" s="106"/>
      <x:c r="X97" s="106"/>
      <x:c r="Y97" s="106"/>
      <x:c r="Z97" s="106"/>
    </x:row>
    <x:row r="98">
      <x:c r="A98" s="106"/>
      <x:c r="B98" s="106"/>
      <x:c r="C98" s="106"/>
      <x:c r="D98" s="106"/>
      <x:c r="E98" s="106"/>
      <x:c r="F98" s="106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106"/>
      <x:c r="Q98" s="106"/>
      <x:c r="R98" s="106"/>
      <x:c r="S98" s="106"/>
      <x:c r="T98" s="106"/>
      <x:c r="U98" s="106"/>
      <x:c r="V98" s="106"/>
      <x:c r="W98" s="106"/>
      <x:c r="X98" s="106"/>
      <x:c r="Y98" s="106"/>
      <x:c r="Z98" s="106"/>
    </x:row>
    <x:row r="99">
      <x:c r="A99" s="106"/>
      <x:c r="B99" s="106"/>
      <x:c r="C99" s="106"/>
      <x:c r="D99" s="106"/>
      <x:c r="E99" s="106"/>
      <x:c r="F99" s="106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106"/>
      <x:c r="Q99" s="106"/>
      <x:c r="R99" s="106"/>
      <x:c r="S99" s="106"/>
      <x:c r="T99" s="106"/>
      <x:c r="U99" s="106"/>
      <x:c r="V99" s="106"/>
      <x:c r="W99" s="106"/>
      <x:c r="X99" s="106"/>
      <x:c r="Y99" s="106"/>
      <x:c r="Z99" s="106"/>
    </x:row>
    <x:row r="100">
      <x:c r="A100" s="106"/>
      <x:c r="B100" s="106"/>
      <x:c r="C100" s="106"/>
      <x:c r="D100" s="106"/>
      <x:c r="E100" s="106"/>
      <x:c r="F100" s="106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106"/>
      <x:c r="Q100" s="106"/>
      <x:c r="R100" s="106"/>
      <x:c r="S100" s="106"/>
      <x:c r="T100" s="106"/>
      <x:c r="U100" s="106"/>
      <x:c r="V100" s="106"/>
      <x:c r="W100" s="106"/>
      <x:c r="X100" s="106"/>
      <x:c r="Y100" s="106"/>
      <x:c r="Z100" s="106"/>
    </x:row>
  </x:sheetData>
  <x:mergeCells>
    <x:mergeCell ref="A1:F1"/>
    <x:mergeCell ref="A2:F2"/>
    <x:mergeCell ref="A4:F4"/>
    <x:mergeCell ref="A5:F5"/>
    <x:mergeCell ref="A6:F6"/>
    <x:mergeCell ref="A7:F7"/>
    <x:mergeCell ref="A8:F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28" hidden="0" customWidth="1"/>
  </x:cols>
  <x:sheetData>
    <x:row r="1" ht="30" customHeight="1">
      <x:c r="A1" s="117" t="str">
        <x:v>01. Synthetic Inputs &amp; Operating Assumptions</x:v>
      </x:c>
      <x:c r="B1" s="117"/>
      <x:c r="C1" s="117"/>
      <x:c r="D1" s="117"/>
      <x:c r="E1" s="117"/>
      <x:c r="F1" s="117"/>
      <x:c r="G1" s="117"/>
      <x:c r="H1" s="106"/>
      <x:c r="I1" s="106"/>
      <x:c r="J1" s="106"/>
      <x:c r="K1" s="106"/>
      <x:c r="L1" s="106"/>
      <x:c r="M1" s="106"/>
      <x:c r="N1" s="106"/>
      <x:c r="O1" s="106"/>
      <x:c r="P1" s="106"/>
      <x:c r="Q1" s="106"/>
      <x:c r="R1" s="106"/>
      <x:c r="S1" s="106"/>
      <x:c r="T1" s="106"/>
      <x:c r="U1" s="106"/>
      <x:c r="V1" s="106"/>
      <x:c r="W1" s="106"/>
      <x:c r="X1" s="106"/>
      <x:c r="Y1" s="106"/>
      <x:c r="Z1" s="106"/>
    </x:row>
    <x:row r="2" ht="28" customHeight="1">
      <x:c r="A2" s="107" t="str">
        <x:v>All hardcoded values are illustrative. Units and source notes are shown explicitly.</x:v>
      </x:c>
      <x:c r="B2" s="107"/>
      <x:c r="C2" s="107"/>
      <x:c r="D2" s="107"/>
      <x:c r="E2" s="107"/>
      <x:c r="F2" s="107"/>
      <x:c r="G2" s="107"/>
      <x:c r="H2" s="106"/>
      <x:c r="I2" s="106"/>
      <x:c r="J2" s="106"/>
      <x:c r="K2" s="106"/>
      <x:c r="L2" s="106"/>
      <x:c r="M2" s="106"/>
      <x:c r="N2" s="106"/>
      <x:c r="O2" s="106"/>
      <x:c r="P2" s="106"/>
      <x:c r="Q2" s="106"/>
      <x:c r="R2" s="106"/>
      <x:c r="S2" s="106"/>
      <x:c r="T2" s="106"/>
      <x:c r="U2" s="106"/>
      <x:c r="V2" s="106"/>
      <x:c r="W2" s="106"/>
      <x:c r="X2" s="106"/>
      <x:c r="Y2" s="106"/>
      <x:c r="Z2" s="106"/>
    </x:row>
    <x:row r="3">
      <x:c r="A3" s="106"/>
      <x:c r="B3" s="106"/>
      <x:c r="C3" s="106"/>
      <x:c r="D3" s="106"/>
      <x:c r="E3" s="106"/>
      <x:c r="F3" s="106"/>
      <x:c r="G3" s="106"/>
      <x:c r="H3" s="106"/>
      <x:c r="I3" s="106"/>
      <x:c r="J3" s="106"/>
      <x:c r="K3" s="106"/>
      <x:c r="L3" s="106"/>
      <x:c r="M3" s="106"/>
      <x:c r="N3" s="106"/>
      <x:c r="O3" s="106"/>
      <x:c r="P3" s="106"/>
      <x:c r="Q3" s="106"/>
      <x:c r="R3" s="106"/>
      <x:c r="S3" s="106"/>
      <x:c r="T3" s="106"/>
      <x:c r="U3" s="106"/>
      <x:c r="V3" s="106"/>
      <x:c r="W3" s="106"/>
      <x:c r="X3" s="106"/>
      <x:c r="Y3" s="106"/>
      <x:c r="Z3" s="106"/>
    </x:row>
    <x:row r="4">
      <x:c r="A4" s="110" t="str">
        <x:v>Metric</x:v>
      </x:c>
      <x:c r="B4" s="110" t="str">
        <x:v>Unit</x:v>
      </x:c>
      <x:c r="C4" s="110" t="str">
        <x:v>Budget</x:v>
      </x:c>
      <x:c r="D4" s="110" t="str">
        <x:v>Actual</x:v>
      </x:c>
      <x:c r="E4" s="110" t="str">
        <x:v>Latest forecast</x:v>
      </x:c>
      <x:c r="F4" s="110" t="str">
        <x:v>Model role</x:v>
      </x:c>
      <x:c r="G4" s="110" t="str">
        <x:v>Source / note</x:v>
      </x:c>
      <x:c r="H4" s="106"/>
      <x:c r="I4" s="106"/>
      <x:c r="J4" s="106"/>
      <x:c r="K4" s="106"/>
      <x:c r="L4" s="106"/>
      <x:c r="M4" s="106"/>
      <x:c r="N4" s="106"/>
      <x:c r="O4" s="106"/>
      <x:c r="P4" s="106"/>
      <x:c r="Q4" s="106"/>
      <x:c r="R4" s="106"/>
      <x:c r="S4" s="106"/>
      <x:c r="T4" s="106"/>
      <x:c r="U4" s="106"/>
      <x:c r="V4" s="106"/>
      <x:c r="W4" s="106"/>
      <x:c r="X4" s="106"/>
      <x:c r="Y4" s="106"/>
      <x:c r="Z4" s="106"/>
    </x:row>
    <x:row r="5">
      <x:c r="A5" s="106" t="str">
        <x:v>Physical rooms</x:v>
      </x:c>
      <x:c r="B5" s="106" t="str">
        <x:v>rooms</x:v>
      </x:c>
      <x:c r="C5" s="118" t="n">
        <x:v>305</x:v>
      </x:c>
      <x:c r="D5" s="118" t="n">
        <x:v>305</x:v>
      </x:c>
      <x:c r="E5" s="118" t="n">
        <x:v>305</x:v>
      </x:c>
      <x:c r="F5" s="106" t="str">
        <x:v>Capacity</x:v>
      </x:c>
      <x:c r="G5" s="106" t="str">
        <x:v>Synthetic assumption</x:v>
      </x:c>
      <x:c r="H5" s="106"/>
      <x:c r="I5" s="106"/>
      <x:c r="J5" s="106"/>
      <x:c r="K5" s="106"/>
      <x:c r="L5" s="106"/>
      <x:c r="M5" s="106"/>
      <x:c r="N5" s="106"/>
      <x:c r="O5" s="106"/>
      <x:c r="P5" s="106"/>
      <x:c r="Q5" s="106"/>
      <x:c r="R5" s="106"/>
      <x:c r="S5" s="106"/>
      <x:c r="T5" s="106"/>
      <x:c r="U5" s="106"/>
      <x:c r="V5" s="106"/>
      <x:c r="W5" s="106"/>
      <x:c r="X5" s="106"/>
      <x:c r="Y5" s="106"/>
      <x:c r="Z5" s="106"/>
    </x:row>
    <x:row r="6">
      <x:c r="A6" s="106" t="str">
        <x:v>Out-of-order rooms</x:v>
      </x:c>
      <x:c r="B6" s="106" t="str">
        <x:v>rooms</x:v>
      </x:c>
      <x:c r="C6" s="118" t="n">
        <x:v>5</x:v>
      </x:c>
      <x:c r="D6" s="118" t="n">
        <x:v>5</x:v>
      </x:c>
      <x:c r="E6" s="118" t="n">
        <x:v>5</x:v>
      </x:c>
      <x:c r="F6" s="106" t="str">
        <x:v>Capacity</x:v>
      </x:c>
      <x:c r="G6" s="106" t="str">
        <x:v>Synthetic assumption</x:v>
      </x:c>
      <x:c r="H6" s="106"/>
      <x:c r="I6" s="106"/>
      <x:c r="J6" s="106"/>
      <x:c r="K6" s="106"/>
      <x:c r="L6" s="106"/>
      <x:c r="M6" s="106"/>
      <x:c r="N6" s="106"/>
      <x:c r="O6" s="106"/>
      <x:c r="P6" s="106"/>
      <x:c r="Q6" s="106"/>
      <x:c r="R6" s="106"/>
      <x:c r="S6" s="106"/>
      <x:c r="T6" s="106"/>
      <x:c r="U6" s="106"/>
      <x:c r="V6" s="106"/>
      <x:c r="W6" s="106"/>
      <x:c r="X6" s="106"/>
      <x:c r="Y6" s="106"/>
      <x:c r="Z6" s="106"/>
    </x:row>
    <x:row r="7">
      <x:c r="A7" s="106" t="str">
        <x:v>Days in period</x:v>
      </x:c>
      <x:c r="B7" s="106" t="str">
        <x:v>days</x:v>
      </x:c>
      <x:c r="C7" s="118" t="n">
        <x:v>30</x:v>
      </x:c>
      <x:c r="D7" s="118" t="n">
        <x:v>30</x:v>
      </x:c>
      <x:c r="E7" s="118" t="n">
        <x:v>30</x:v>
      </x:c>
      <x:c r="F7" s="106" t="str">
        <x:v>Capacity</x:v>
      </x:c>
      <x:c r="G7" s="106" t="str">
        <x:v>Synthetic assumption</x:v>
      </x:c>
      <x:c r="H7" s="106"/>
      <x:c r="I7" s="106"/>
      <x:c r="J7" s="106"/>
      <x:c r="K7" s="106"/>
      <x:c r="L7" s="106"/>
      <x:c r="M7" s="106"/>
      <x:c r="N7" s="106"/>
      <x:c r="O7" s="106"/>
      <x:c r="P7" s="106"/>
      <x:c r="Q7" s="106"/>
      <x:c r="R7" s="106"/>
      <x:c r="S7" s="106"/>
      <x:c r="T7" s="106"/>
      <x:c r="U7" s="106"/>
      <x:c r="V7" s="106"/>
      <x:c r="W7" s="106"/>
      <x:c r="X7" s="106"/>
      <x:c r="Y7" s="106"/>
      <x:c r="Z7" s="106"/>
    </x:row>
    <x:row r="8">
      <x:c r="A8" s="106" t="str">
        <x:v>Rooms sold - Transient</x:v>
      </x:c>
      <x:c r="B8" s="106" t="str">
        <x:v>room nights</x:v>
      </x:c>
      <x:c r="C8" s="118" t="n">
        <x:v>3600</x:v>
      </x:c>
      <x:c r="D8" s="118" t="n">
        <x:v>3234</x:v>
      </x:c>
      <x:c r="E8" s="118" t="n">
        <x:v>3300</x:v>
      </x:c>
      <x:c r="F8" s="106" t="str">
        <x:v>Revenue</x:v>
      </x:c>
      <x:c r="G8" s="106" t="str">
        <x:v>Synthetic assumption</x:v>
      </x:c>
      <x:c r="H8" s="106"/>
      <x:c r="I8" s="106"/>
      <x:c r="J8" s="106"/>
      <x:c r="K8" s="106"/>
      <x:c r="L8" s="106"/>
      <x:c r="M8" s="106"/>
      <x:c r="N8" s="106"/>
      <x:c r="O8" s="106"/>
      <x:c r="P8" s="106"/>
      <x:c r="Q8" s="106"/>
      <x:c r="R8" s="106"/>
      <x:c r="S8" s="106"/>
      <x:c r="T8" s="106"/>
      <x:c r="U8" s="106"/>
      <x:c r="V8" s="106"/>
      <x:c r="W8" s="106"/>
      <x:c r="X8" s="106"/>
      <x:c r="Y8" s="106"/>
      <x:c r="Z8" s="106"/>
    </x:row>
    <x:row r="9">
      <x:c r="A9" s="106" t="str">
        <x:v>ADR - Transient</x:v>
      </x:c>
      <x:c r="B9" s="106" t="str">
        <x:v>HK$/room</x:v>
      </x:c>
      <x:c r="C9" s="118" t="n">
        <x:v>2800</x:v>
      </x:c>
      <x:c r="D9" s="118" t="n">
        <x:v>2650</x:v>
      </x:c>
      <x:c r="E9" s="118" t="n">
        <x:v>2690</x:v>
      </x:c>
      <x:c r="F9" s="106" t="str">
        <x:v>Revenue</x:v>
      </x:c>
      <x:c r="G9" s="106" t="str">
        <x:v>Synthetic assumption</x:v>
      </x:c>
      <x:c r="H9" s="106"/>
      <x:c r="I9" s="106"/>
      <x:c r="J9" s="106"/>
      <x:c r="K9" s="106"/>
      <x:c r="L9" s="106"/>
      <x:c r="M9" s="106"/>
      <x:c r="N9" s="106"/>
      <x:c r="O9" s="106"/>
      <x:c r="P9" s="106"/>
      <x:c r="Q9" s="106"/>
      <x:c r="R9" s="106"/>
      <x:c r="S9" s="106"/>
      <x:c r="T9" s="106"/>
      <x:c r="U9" s="106"/>
      <x:c r="V9" s="106"/>
      <x:c r="W9" s="106"/>
      <x:c r="X9" s="106"/>
      <x:c r="Y9" s="106"/>
      <x:c r="Z9" s="106"/>
    </x:row>
    <x:row r="10">
      <x:c r="A10" s="106" t="str">
        <x:v>Rooms sold - Group</x:v>
      </x:c>
      <x:c r="B10" s="106" t="str">
        <x:v>room nights</x:v>
      </x:c>
      <x:c r="C10" s="118" t="n">
        <x:v>2160</x:v>
      </x:c>
      <x:c r="D10" s="118" t="n">
        <x:v>2646</x:v>
      </x:c>
      <x:c r="E10" s="118" t="n">
        <x:v>2680</x:v>
      </x:c>
      <x:c r="F10" s="106" t="str">
        <x:v>Revenue</x:v>
      </x:c>
      <x:c r="G10" s="106" t="str">
        <x:v>Synthetic assumption</x:v>
      </x:c>
      <x:c r="H10" s="106"/>
      <x:c r="I10" s="106"/>
      <x:c r="J10" s="106"/>
      <x:c r="K10" s="106"/>
      <x:c r="L10" s="106"/>
      <x:c r="M10" s="106"/>
      <x:c r="N10" s="106"/>
      <x:c r="O10" s="106"/>
      <x:c r="P10" s="106"/>
      <x:c r="Q10" s="106"/>
      <x:c r="R10" s="106"/>
      <x:c r="S10" s="106"/>
      <x:c r="T10" s="106"/>
      <x:c r="U10" s="106"/>
      <x:c r="V10" s="106"/>
      <x:c r="W10" s="106"/>
      <x:c r="X10" s="106"/>
      <x:c r="Y10" s="106"/>
      <x:c r="Z10" s="106"/>
    </x:row>
    <x:row r="11">
      <x:c r="A11" s="106" t="str">
        <x:v>ADR - Group</x:v>
      </x:c>
      <x:c r="B11" s="106" t="str">
        <x:v>HK$/room</x:v>
      </x:c>
      <x:c r="C11" s="118" t="n">
        <x:v>2200</x:v>
      </x:c>
      <x:c r="D11" s="118" t="n">
        <x:v>2200</x:v>
      </x:c>
      <x:c r="E11" s="118" t="n">
        <x:v>2210</x:v>
      </x:c>
      <x:c r="F11" s="106" t="str">
        <x:v>Revenue</x:v>
      </x:c>
      <x:c r="G11" s="106" t="str">
        <x:v>Synthetic assumption</x:v>
      </x:c>
      <x:c r="H11" s="106"/>
      <x:c r="I11" s="106"/>
      <x:c r="J11" s="106"/>
      <x:c r="K11" s="106"/>
      <x:c r="L11" s="106"/>
      <x:c r="M11" s="106"/>
      <x:c r="N11" s="106"/>
      <x:c r="O11" s="106"/>
      <x:c r="P11" s="106"/>
      <x:c r="Q11" s="106"/>
      <x:c r="R11" s="106"/>
      <x:c r="S11" s="106"/>
      <x:c r="T11" s="106"/>
      <x:c r="U11" s="106"/>
      <x:c r="V11" s="106"/>
      <x:c r="W11" s="106"/>
      <x:c r="X11" s="106"/>
      <x:c r="Y11" s="106"/>
      <x:c r="Z11" s="106"/>
    </x:row>
    <x:row r="12">
      <x:c r="A12" s="106" t="str">
        <x:v>Rooms sold - Package/Other</x:v>
      </x:c>
      <x:c r="B12" s="106" t="str">
        <x:v>room nights</x:v>
      </x:c>
      <x:c r="C12" s="118" t="n">
        <x:v>1440</x:v>
      </x:c>
      <x:c r="D12" s="118" t="n">
        <x:v>1470</x:v>
      </x:c>
      <x:c r="E12" s="118" t="n">
        <x:v>1490</x:v>
      </x:c>
      <x:c r="F12" s="106" t="str">
        <x:v>Revenue</x:v>
      </x:c>
      <x:c r="G12" s="106" t="str">
        <x:v>Synthetic assumption</x:v>
      </x:c>
      <x:c r="H12" s="106"/>
      <x:c r="I12" s="106"/>
      <x:c r="J12" s="106"/>
      <x:c r="K12" s="106"/>
      <x:c r="L12" s="106"/>
      <x:c r="M12" s="106"/>
      <x:c r="N12" s="106"/>
      <x:c r="O12" s="106"/>
      <x:c r="P12" s="106"/>
      <x:c r="Q12" s="106"/>
      <x:c r="R12" s="106"/>
      <x:c r="S12" s="106"/>
      <x:c r="T12" s="106"/>
      <x:c r="U12" s="106"/>
      <x:c r="V12" s="106"/>
      <x:c r="W12" s="106"/>
      <x:c r="X12" s="106"/>
      <x:c r="Y12" s="106"/>
      <x:c r="Z12" s="106"/>
    </x:row>
    <x:row r="13">
      <x:c r="A13" s="106" t="str">
        <x:v>ADR - Package/Other</x:v>
      </x:c>
      <x:c r="B13" s="106" t="str">
        <x:v>HK$/room</x:v>
      </x:c>
      <x:c r="C13" s="118" t="n">
        <x:v>2200</x:v>
      </x:c>
      <x:c r="D13" s="118" t="n">
        <x:v>2210</x:v>
      </x:c>
      <x:c r="E13" s="118" t="n">
        <x:v>2220</x:v>
      </x:c>
      <x:c r="F13" s="106" t="str">
        <x:v>Revenue</x:v>
      </x:c>
      <x:c r="G13" s="106" t="str">
        <x:v>Synthetic assumption</x:v>
      </x:c>
      <x:c r="H13" s="106"/>
      <x:c r="I13" s="106"/>
      <x:c r="J13" s="106"/>
      <x:c r="K13" s="106"/>
      <x:c r="L13" s="106"/>
      <x:c r="M13" s="106"/>
      <x:c r="N13" s="106"/>
      <x:c r="O13" s="106"/>
      <x:c r="P13" s="106"/>
      <x:c r="Q13" s="106"/>
      <x:c r="R13" s="106"/>
      <x:c r="S13" s="106"/>
      <x:c r="T13" s="106"/>
      <x:c r="U13" s="106"/>
      <x:c r="V13" s="106"/>
      <x:c r="W13" s="106"/>
      <x:c r="X13" s="106"/>
      <x:c r="Y13" s="106"/>
      <x:c r="Z13" s="106"/>
    </x:row>
    <x:row r="14">
      <x:c r="A14" s="106" t="str">
        <x:v>F&amp;B revenue</x:v>
      </x:c>
      <x:c r="B14" s="106" t="str">
        <x:v>HK$</x:v>
      </x:c>
      <x:c r="C14" s="118" t="n">
        <x:v>8000000</x:v>
      </x:c>
      <x:c r="D14" s="118" t="n">
        <x:v>8400000</x:v>
      </x:c>
      <x:c r="E14" s="118" t="n">
        <x:v>8500000</x:v>
      </x:c>
      <x:c r="F14" s="106" t="str">
        <x:v>Revenue</x:v>
      </x:c>
      <x:c r="G14" s="106" t="str">
        <x:v>Synthetic assumption</x:v>
      </x:c>
      <x:c r="H14" s="106"/>
      <x:c r="I14" s="106"/>
      <x:c r="J14" s="106"/>
      <x:c r="K14" s="106"/>
      <x:c r="L14" s="106"/>
      <x:c r="M14" s="106"/>
      <x:c r="N14" s="106"/>
      <x:c r="O14" s="106"/>
      <x:c r="P14" s="106"/>
      <x:c r="Q14" s="106"/>
      <x:c r="R14" s="106"/>
      <x:c r="S14" s="106"/>
      <x:c r="T14" s="106"/>
      <x:c r="U14" s="106"/>
      <x:c r="V14" s="106"/>
      <x:c r="W14" s="106"/>
      <x:c r="X14" s="106"/>
      <x:c r="Y14" s="106"/>
      <x:c r="Z14" s="106"/>
    </x:row>
    <x:row r="15">
      <x:c r="A15" s="106" t="str">
        <x:v>Other revenue</x:v>
      </x:c>
      <x:c r="B15" s="106" t="str">
        <x:v>HK$</x:v>
      </x:c>
      <x:c r="C15" s="118" t="n">
        <x:v>2000000</x:v>
      </x:c>
      <x:c r="D15" s="118" t="n">
        <x:v>1900000</x:v>
      </x:c>
      <x:c r="E15" s="118" t="n">
        <x:v>1950000</x:v>
      </x:c>
      <x:c r="F15" s="106" t="str">
        <x:v>Revenue</x:v>
      </x:c>
      <x:c r="G15" s="106" t="str">
        <x:v>Synthetic assumption</x:v>
      </x:c>
      <x:c r="H15" s="106"/>
      <x:c r="I15" s="106"/>
      <x:c r="J15" s="106"/>
      <x:c r="K15" s="106"/>
      <x:c r="L15" s="106"/>
      <x:c r="M15" s="106"/>
      <x:c r="N15" s="106"/>
      <x:c r="O15" s="106"/>
      <x:c r="P15" s="106"/>
      <x:c r="Q15" s="106"/>
      <x:c r="R15" s="106"/>
      <x:c r="S15" s="106"/>
      <x:c r="T15" s="106"/>
      <x:c r="U15" s="106"/>
      <x:c r="V15" s="106"/>
      <x:c r="W15" s="106"/>
      <x:c r="X15" s="106"/>
      <x:c r="Y15" s="106"/>
      <x:c r="Z15" s="106"/>
    </x:row>
    <x:row r="16">
      <x:c r="A16" s="106" t="str">
        <x:v>Core labour hours</x:v>
      </x:c>
      <x:c r="B16" s="106" t="str">
        <x:v>hours</x:v>
      </x:c>
      <x:c r="C16" s="118" t="n">
        <x:v>170000</x:v>
      </x:c>
      <x:c r="D16" s="118" t="n">
        <x:v>174000</x:v>
      </x:c>
      <x:c r="E16" s="118" t="n">
        <x:v>172500</x:v>
      </x:c>
      <x:c r="F16" s="106" t="str">
        <x:v>Labour</x:v>
      </x:c>
      <x:c r="G16" s="106" t="str">
        <x:v>Synthetic assumption</x:v>
      </x:c>
      <x:c r="H16" s="106"/>
      <x:c r="I16" s="106"/>
      <x:c r="J16" s="106"/>
      <x:c r="K16" s="106"/>
      <x:c r="L16" s="106"/>
      <x:c r="M16" s="106"/>
      <x:c r="N16" s="106"/>
      <x:c r="O16" s="106"/>
      <x:c r="P16" s="106"/>
      <x:c r="Q16" s="106"/>
      <x:c r="R16" s="106"/>
      <x:c r="S16" s="106"/>
      <x:c r="T16" s="106"/>
      <x:c r="U16" s="106"/>
      <x:c r="V16" s="106"/>
      <x:c r="W16" s="106"/>
      <x:c r="X16" s="106"/>
      <x:c r="Y16" s="106"/>
      <x:c r="Z16" s="106"/>
    </x:row>
    <x:row r="17">
      <x:c r="A17" s="106" t="str">
        <x:v>Core labour rate</x:v>
      </x:c>
      <x:c r="B17" s="106" t="str">
        <x:v>HK$/hour</x:v>
      </x:c>
      <x:c r="C17" s="118" t="n">
        <x:v>40</x:v>
      </x:c>
      <x:c r="D17" s="118" t="n">
        <x:v>41</x:v>
      </x:c>
      <x:c r="E17" s="118" t="n">
        <x:v>41</x:v>
      </x:c>
      <x:c r="F17" s="106" t="str">
        <x:v>Labour</x:v>
      </x:c>
      <x:c r="G17" s="106" t="str">
        <x:v>Synthetic assumption</x:v>
      </x:c>
      <x:c r="H17" s="106"/>
      <x:c r="I17" s="106"/>
      <x:c r="J17" s="106"/>
      <x:c r="K17" s="106"/>
      <x:c r="L17" s="106"/>
      <x:c r="M17" s="106"/>
      <x:c r="N17" s="106"/>
      <x:c r="O17" s="106"/>
      <x:c r="P17" s="106"/>
      <x:c r="Q17" s="106"/>
      <x:c r="R17" s="106"/>
      <x:c r="S17" s="106"/>
      <x:c r="T17" s="106"/>
      <x:c r="U17" s="106"/>
      <x:c r="V17" s="106"/>
      <x:c r="W17" s="106"/>
      <x:c r="X17" s="106"/>
      <x:c r="Y17" s="106"/>
      <x:c r="Z17" s="106"/>
    </x:row>
    <x:row r="18">
      <x:c r="A18" s="106" t="str">
        <x:v>Overtime hours</x:v>
      </x:c>
      <x:c r="B18" s="106" t="str">
        <x:v>hours</x:v>
      </x:c>
      <x:c r="C18" s="118" t="n">
        <x:v>2000</x:v>
      </x:c>
      <x:c r="D18" s="118" t="n">
        <x:v>3400</x:v>
      </x:c>
      <x:c r="E18" s="118" t="n">
        <x:v>3200</x:v>
      </x:c>
      <x:c r="F18" s="106" t="str">
        <x:v>Labour</x:v>
      </x:c>
      <x:c r="G18" s="106" t="str">
        <x:v>Synthetic assumption</x:v>
      </x:c>
      <x:c r="H18" s="106"/>
      <x:c r="I18" s="106"/>
      <x:c r="J18" s="106"/>
      <x:c r="K18" s="106"/>
      <x:c r="L18" s="106"/>
      <x:c r="M18" s="106"/>
      <x:c r="N18" s="106"/>
      <x:c r="O18" s="106"/>
      <x:c r="P18" s="106"/>
      <x:c r="Q18" s="106"/>
      <x:c r="R18" s="106"/>
      <x:c r="S18" s="106"/>
      <x:c r="T18" s="106"/>
      <x:c r="U18" s="106"/>
      <x:c r="V18" s="106"/>
      <x:c r="W18" s="106"/>
      <x:c r="X18" s="106"/>
      <x:c r="Y18" s="106"/>
      <x:c r="Z18" s="106"/>
    </x:row>
    <x:row r="19">
      <x:c r="A19" s="106" t="str">
        <x:v>Overtime premium</x:v>
      </x:c>
      <x:c r="B19" s="106" t="str">
        <x:v>HK$/hour</x:v>
      </x:c>
      <x:c r="C19" s="118" t="n">
        <x:v>20</x:v>
      </x:c>
      <x:c r="D19" s="118" t="n">
        <x:v>22</x:v>
      </x:c>
      <x:c r="E19" s="118" t="n">
        <x:v>22</x:v>
      </x:c>
      <x:c r="F19" s="106" t="str">
        <x:v>Labour</x:v>
      </x:c>
      <x:c r="G19" s="106" t="str">
        <x:v>Synthetic assumption</x:v>
      </x:c>
      <x:c r="H19" s="106"/>
      <x:c r="I19" s="106"/>
      <x:c r="J19" s="106"/>
      <x:c r="K19" s="106"/>
      <x:c r="L19" s="106"/>
      <x:c r="M19" s="106"/>
      <x:c r="N19" s="106"/>
      <x:c r="O19" s="106"/>
      <x:c r="P19" s="106"/>
      <x:c r="Q19" s="106"/>
      <x:c r="R19" s="106"/>
      <x:c r="S19" s="106"/>
      <x:c r="T19" s="106"/>
      <x:c r="U19" s="106"/>
      <x:c r="V19" s="106"/>
      <x:c r="W19" s="106"/>
      <x:c r="X19" s="106"/>
      <x:c r="Y19" s="106"/>
      <x:c r="Z19" s="106"/>
    </x:row>
    <x:row r="20">
      <x:c r="A20" s="106" t="str">
        <x:v>Agency hours</x:v>
      </x:c>
      <x:c r="B20" s="106" t="str">
        <x:v>hours</x:v>
      </x:c>
      <x:c r="C20" s="118" t="n">
        <x:v>10000</x:v>
      </x:c>
      <x:c r="D20" s="118" t="n">
        <x:v>15200</x:v>
      </x:c>
      <x:c r="E20" s="118" t="n">
        <x:v>14200</x:v>
      </x:c>
      <x:c r="F20" s="106" t="str">
        <x:v>Labour</x:v>
      </x:c>
      <x:c r="G20" s="106" t="str">
        <x:v>Synthetic assumption</x:v>
      </x:c>
      <x:c r="H20" s="106"/>
      <x:c r="I20" s="106"/>
      <x:c r="J20" s="106"/>
      <x:c r="K20" s="106"/>
      <x:c r="L20" s="106"/>
      <x:c r="M20" s="106"/>
      <x:c r="N20" s="106"/>
      <x:c r="O20" s="106"/>
      <x:c r="P20" s="106"/>
      <x:c r="Q20" s="106"/>
      <x:c r="R20" s="106"/>
      <x:c r="S20" s="106"/>
      <x:c r="T20" s="106"/>
      <x:c r="U20" s="106"/>
      <x:c r="V20" s="106"/>
      <x:c r="W20" s="106"/>
      <x:c r="X20" s="106"/>
      <x:c r="Y20" s="106"/>
      <x:c r="Z20" s="106"/>
    </x:row>
    <x:row r="21">
      <x:c r="A21" s="106" t="str">
        <x:v>Agency rate</x:v>
      </x:c>
      <x:c r="B21" s="106" t="str">
        <x:v>HK$/hour</x:v>
      </x:c>
      <x:c r="C21" s="118" t="n">
        <x:v>50</x:v>
      </x:c>
      <x:c r="D21" s="118" t="n">
        <x:v>60</x:v>
      </x:c>
      <x:c r="E21" s="118" t="n">
        <x:v>59</x:v>
      </x:c>
      <x:c r="F21" s="106" t="str">
        <x:v>Labour</x:v>
      </x:c>
      <x:c r="G21" s="106" t="str">
        <x:v>Synthetic assumption</x:v>
      </x:c>
      <x:c r="H21" s="106"/>
      <x:c r="I21" s="106"/>
      <x:c r="J21" s="106"/>
      <x:c r="K21" s="106"/>
      <x:c r="L21" s="106"/>
      <x:c r="M21" s="106"/>
      <x:c r="N21" s="106"/>
      <x:c r="O21" s="106"/>
      <x:c r="P21" s="106"/>
      <x:c r="Q21" s="106"/>
      <x:c r="R21" s="106"/>
      <x:c r="S21" s="106"/>
      <x:c r="T21" s="106"/>
      <x:c r="U21" s="106"/>
      <x:c r="V21" s="106"/>
      <x:c r="W21" s="106"/>
      <x:c r="X21" s="106"/>
      <x:c r="Y21" s="106"/>
      <x:c r="Z21" s="106"/>
    </x:row>
    <x:row r="22">
      <x:c r="A22" s="106" t="str">
        <x:v>Other labour</x:v>
      </x:c>
      <x:c r="B22" s="106" t="str">
        <x:v>HK$</x:v>
      </x:c>
      <x:c r="C22" s="118" t="n">
        <x:v>1060000</x:v>
      </x:c>
      <x:c r="D22" s="118" t="n">
        <x:v>1119200</x:v>
      </x:c>
      <x:c r="E22" s="118" t="n">
        <x:v>1110000</x:v>
      </x:c>
      <x:c r="F22" s="106" t="str">
        <x:v>Labour</x:v>
      </x:c>
      <x:c r="G22" s="106" t="str">
        <x:v>Synthetic assumption</x:v>
      </x:c>
      <x:c r="H22" s="106"/>
      <x:c r="I22" s="106"/>
      <x:c r="J22" s="106"/>
      <x:c r="K22" s="106"/>
      <x:c r="L22" s="106"/>
      <x:c r="M22" s="106"/>
      <x:c r="N22" s="106"/>
      <x:c r="O22" s="106"/>
      <x:c r="P22" s="106"/>
      <x:c r="Q22" s="106"/>
      <x:c r="R22" s="106"/>
      <x:c r="S22" s="106"/>
      <x:c r="T22" s="106"/>
      <x:c r="U22" s="106"/>
      <x:c r="V22" s="106"/>
      <x:c r="W22" s="106"/>
      <x:c r="X22" s="106"/>
      <x:c r="Y22" s="106"/>
      <x:c r="Z22" s="106"/>
    </x:row>
    <x:row r="23">
      <x:c r="A23" s="106" t="str">
        <x:v>F&amp;B cost %</x:v>
      </x:c>
      <x:c r="B23" s="106" t="str">
        <x:v>%</x:v>
      </x:c>
      <x:c r="C23" s="119" t="n">
        <x:v>0.32</x:v>
      </x:c>
      <x:c r="D23" s="119" t="n">
        <x:v>0.35</x:v>
      </x:c>
      <x:c r="E23" s="119" t="n">
        <x:v>0.347</x:v>
      </x:c>
      <x:c r="F23" s="106" t="str">
        <x:v>Cost</x:v>
      </x:c>
      <x:c r="G23" s="106" t="str">
        <x:v>Synthetic assumption</x:v>
      </x:c>
      <x:c r="H23" s="106"/>
      <x:c r="I23" s="106"/>
      <x:c r="J23" s="106"/>
      <x:c r="K23" s="106"/>
      <x:c r="L23" s="106"/>
      <x:c r="M23" s="106"/>
      <x:c r="N23" s="106"/>
      <x:c r="O23" s="106"/>
      <x:c r="P23" s="106"/>
      <x:c r="Q23" s="106"/>
      <x:c r="R23" s="106"/>
      <x:c r="S23" s="106"/>
      <x:c r="T23" s="106"/>
      <x:c r="U23" s="106"/>
      <x:c r="V23" s="106"/>
      <x:c r="W23" s="106"/>
      <x:c r="X23" s="106"/>
      <x:c r="Y23" s="106"/>
      <x:c r="Z23" s="106"/>
    </x:row>
    <x:row r="24">
      <x:c r="A24" s="106" t="str">
        <x:v>Utilities</x:v>
      </x:c>
      <x:c r="B24" s="106" t="str">
        <x:v>HK$</x:v>
      </x:c>
      <x:c r="C24" s="118" t="n">
        <x:v>1200000</x:v>
      </x:c>
      <x:c r="D24" s="118" t="n">
        <x:v>1300000</x:v>
      </x:c>
      <x:c r="E24" s="118" t="n">
        <x:v>1295000</x:v>
      </x:c>
      <x:c r="F24" s="106" t="str">
        <x:v>Cost</x:v>
      </x:c>
      <x:c r="G24" s="106" t="str">
        <x:v>Synthetic assumption</x:v>
      </x:c>
      <x:c r="H24" s="106"/>
      <x:c r="I24" s="106"/>
      <x:c r="J24" s="106"/>
      <x:c r="K24" s="106"/>
      <x:c r="L24" s="106"/>
      <x:c r="M24" s="106"/>
      <x:c r="N24" s="106"/>
      <x:c r="O24" s="106"/>
      <x:c r="P24" s="106"/>
      <x:c r="Q24" s="106"/>
      <x:c r="R24" s="106"/>
      <x:c r="S24" s="106"/>
      <x:c r="T24" s="106"/>
      <x:c r="U24" s="106"/>
      <x:c r="V24" s="106"/>
      <x:c r="W24" s="106"/>
      <x:c r="X24" s="106"/>
      <x:c r="Y24" s="106"/>
      <x:c r="Z24" s="106"/>
    </x:row>
    <x:row r="25">
      <x:c r="A25" s="106" t="str">
        <x:v>Other operating expense</x:v>
      </x:c>
      <x:c r="B25" s="106" t="str">
        <x:v>HK$</x:v>
      </x:c>
      <x:c r="C25" s="118" t="n">
        <x:v>5040000</x:v>
      </x:c>
      <x:c r="D25" s="118" t="n">
        <x:v>5160000</x:v>
      </x:c>
      <x:c r="E25" s="118" t="n">
        <x:v>5150000</x:v>
      </x:c>
      <x:c r="F25" s="106" t="str">
        <x:v>Cost</x:v>
      </x:c>
      <x:c r="G25" s="106" t="str">
        <x:v>Synthetic assumption</x:v>
      </x:c>
      <x:c r="H25" s="106"/>
      <x:c r="I25" s="106"/>
      <x:c r="J25" s="106"/>
      <x:c r="K25" s="106"/>
      <x:c r="L25" s="106"/>
      <x:c r="M25" s="106"/>
      <x:c r="N25" s="106"/>
      <x:c r="O25" s="106"/>
      <x:c r="P25" s="106"/>
      <x:c r="Q25" s="106"/>
      <x:c r="R25" s="106"/>
      <x:c r="S25" s="106"/>
      <x:c r="T25" s="106"/>
      <x:c r="U25" s="106"/>
      <x:c r="V25" s="106"/>
      <x:c r="W25" s="106"/>
      <x:c r="X25" s="106"/>
      <x:c r="Y25" s="106"/>
      <x:c r="Z25" s="106"/>
    </x:row>
    <x:row r="26">
      <x:c r="A26" s="106" t="str">
        <x:v>Guest satisfaction</x:v>
      </x:c>
      <x:c r="B26" s="106" t="str">
        <x:v>score</x:v>
      </x:c>
      <x:c r="C26" s="120" t="n">
        <x:v>90</x:v>
      </x:c>
      <x:c r="D26" s="120" t="n">
        <x:v>88</x:v>
      </x:c>
      <x:c r="E26" s="120" t="n">
        <x:v>88.5</x:v>
      </x:c>
      <x:c r="F26" s="106" t="str">
        <x:v>Guardrail</x:v>
      </x:c>
      <x:c r="G26" s="106" t="str">
        <x:v>Synthetic assumption</x:v>
      </x:c>
      <x:c r="H26" s="106"/>
      <x:c r="I26" s="106"/>
      <x:c r="J26" s="106"/>
      <x:c r="K26" s="106"/>
      <x:c r="L26" s="106"/>
      <x:c r="M26" s="106"/>
      <x:c r="N26" s="106"/>
      <x:c r="O26" s="106"/>
      <x:c r="P26" s="106"/>
      <x:c r="Q26" s="106"/>
      <x:c r="R26" s="106"/>
      <x:c r="S26" s="106"/>
      <x:c r="T26" s="106"/>
      <x:c r="U26" s="106"/>
      <x:c r="V26" s="106"/>
      <x:c r="W26" s="106"/>
      <x:c r="X26" s="106"/>
      <x:c r="Y26" s="106"/>
      <x:c r="Z26" s="106"/>
    </x:row>
    <x:row r="27">
      <x:c r="A27" s="106"/>
      <x:c r="B27" s="106"/>
      <x:c r="C27" s="106"/>
      <x:c r="D27" s="106"/>
      <x:c r="E27" s="106"/>
      <x:c r="F27" s="106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106"/>
      <x:c r="Q27" s="106"/>
      <x:c r="R27" s="106"/>
      <x:c r="S27" s="106"/>
      <x:c r="T27" s="106"/>
      <x:c r="U27" s="106"/>
      <x:c r="V27" s="106"/>
      <x:c r="W27" s="106"/>
      <x:c r="X27" s="106"/>
      <x:c r="Y27" s="106"/>
      <x:c r="Z27" s="106"/>
    </x:row>
    <x:row r="28">
      <x:c r="A28" s="106"/>
      <x:c r="B28" s="106"/>
      <x:c r="C28" s="106"/>
      <x:c r="D28" s="106"/>
      <x:c r="E28" s="106"/>
      <x:c r="F28" s="106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106"/>
      <x:c r="Q28" s="106"/>
      <x:c r="R28" s="106"/>
      <x:c r="S28" s="106"/>
      <x:c r="T28" s="106"/>
      <x:c r="U28" s="106"/>
      <x:c r="V28" s="106"/>
      <x:c r="W28" s="106"/>
      <x:c r="X28" s="106"/>
      <x:c r="Y28" s="106"/>
      <x:c r="Z28" s="106"/>
    </x:row>
    <x:row r="29">
      <x:c r="A29" s="108" t="str">
        <x:v>Calculated controls</x:v>
      </x:c>
      <x:c r="B29" s="108"/>
      <x:c r="C29" s="108"/>
      <x:c r="D29" s="108"/>
      <x:c r="E29" s="108"/>
      <x:c r="F29" s="108"/>
      <x:c r="G29" s="108"/>
      <x:c r="H29" s="106"/>
      <x:c r="I29" s="106"/>
      <x:c r="J29" s="106"/>
      <x:c r="K29" s="106"/>
      <x:c r="L29" s="106"/>
      <x:c r="M29" s="106"/>
      <x:c r="N29" s="106"/>
      <x:c r="O29" s="106"/>
      <x:c r="P29" s="106"/>
      <x:c r="Q29" s="106"/>
      <x:c r="R29" s="106"/>
      <x:c r="S29" s="106"/>
      <x:c r="T29" s="106"/>
      <x:c r="U29" s="106"/>
      <x:c r="V29" s="106"/>
      <x:c r="W29" s="106"/>
      <x:c r="X29" s="106"/>
      <x:c r="Y29" s="106"/>
      <x:c r="Z29" s="106"/>
    </x:row>
    <x:row r="30">
      <x:c r="A30" s="110" t="str">
        <x:v>Control</x:v>
      </x:c>
      <x:c r="B30" s="110" t="str">
        <x:v>Unit</x:v>
      </x:c>
      <x:c r="C30" s="110" t="str">
        <x:v>Budget</x:v>
      </x:c>
      <x:c r="D30" s="110" t="str">
        <x:v>Actual</x:v>
      </x:c>
      <x:c r="E30" s="110" t="str">
        <x:v>Latest forecast</x:v>
      </x:c>
      <x:c r="F30" s="106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106"/>
      <x:c r="Q30" s="106"/>
      <x:c r="R30" s="106"/>
      <x:c r="S30" s="106"/>
      <x:c r="T30" s="106"/>
      <x:c r="U30" s="106"/>
      <x:c r="V30" s="106"/>
      <x:c r="W30" s="106"/>
      <x:c r="X30" s="106"/>
      <x:c r="Y30" s="106"/>
      <x:c r="Z30" s="106"/>
    </x:row>
    <x:row r="31">
      <x:c r="A31" s="106" t="str">
        <x:v>Available room nights</x:v>
      </x:c>
      <x:c r="B31" s="106" t="str">
        <x:v>room nights</x:v>
      </x:c>
      <x:c r="C31" s="121" t="n">
        <x:f>(C5-C6)*C7</x:f>
        <x:v>9000</x:v>
      </x:c>
      <x:c r="D31" s="121" t="n">
        <x:f>(D5-D6)*D7</x:f>
        <x:v>9000</x:v>
      </x:c>
      <x:c r="E31" s="121" t="n">
        <x:f>(E5-E6)*E7</x:f>
        <x:v>9000</x:v>
      </x:c>
      <x:c r="F31" s="106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106"/>
      <x:c r="Q31" s="106"/>
      <x:c r="R31" s="106"/>
      <x:c r="S31" s="106"/>
      <x:c r="T31" s="106"/>
      <x:c r="U31" s="106"/>
      <x:c r="V31" s="106"/>
      <x:c r="W31" s="106"/>
      <x:c r="X31" s="106"/>
      <x:c r="Y31" s="106"/>
      <x:c r="Z31" s="106"/>
    </x:row>
    <x:row r="32">
      <x:c r="A32" s="106" t="str">
        <x:v>Total rooms sold</x:v>
      </x:c>
      <x:c r="B32" s="106" t="str">
        <x:v>room nights</x:v>
      </x:c>
      <x:c r="C32" s="121" t="n">
        <x:f>C8+C10+C12</x:f>
        <x:v>7200</x:v>
      </x:c>
      <x:c r="D32" s="121" t="n">
        <x:f>D8+D10+D12</x:f>
        <x:v>7350</x:v>
      </x:c>
      <x:c r="E32" s="121" t="n">
        <x:f>E8+E10+E12</x:f>
        <x:v>7470</x:v>
      </x:c>
      <x:c r="F32" s="106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106"/>
      <x:c r="Q32" s="106"/>
      <x:c r="R32" s="106"/>
      <x:c r="S32" s="106"/>
      <x:c r="T32" s="106"/>
      <x:c r="U32" s="106"/>
      <x:c r="V32" s="106"/>
      <x:c r="W32" s="106"/>
      <x:c r="X32" s="106"/>
      <x:c r="Y32" s="106"/>
      <x:c r="Z32" s="106"/>
    </x:row>
    <x:row r="33">
      <x:c r="A33" s="106" t="str">
        <x:v>Occupancy</x:v>
      </x:c>
      <x:c r="B33" s="106" t="str">
        <x:v>%</x:v>
      </x:c>
      <x:c r="C33" s="122" t="n">
        <x:f>C32/C31</x:f>
        <x:v>0.8</x:v>
      </x:c>
      <x:c r="D33" s="122" t="n">
        <x:f>D32/D31</x:f>
        <x:v>0.8166666666666667</x:v>
      </x:c>
      <x:c r="E33" s="122" t="n">
        <x:f>E32/E31</x:f>
        <x:v>0.83</x:v>
      </x:c>
      <x:c r="F33" s="106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106"/>
      <x:c r="Q33" s="106"/>
      <x:c r="R33" s="106"/>
      <x:c r="S33" s="106"/>
      <x:c r="T33" s="106"/>
      <x:c r="U33" s="106"/>
      <x:c r="V33" s="106"/>
      <x:c r="W33" s="106"/>
      <x:c r="X33" s="106"/>
      <x:c r="Y33" s="106"/>
      <x:c r="Z33" s="106"/>
    </x:row>
    <x:row r="34">
      <x:c r="A34" s="106" t="str">
        <x:v>Rooms revenue</x:v>
      </x:c>
      <x:c r="B34" s="106" t="str">
        <x:v>HK$</x:v>
      </x:c>
      <x:c r="C34" s="121" t="n">
        <x:f>C8*C9+C10*C11+C12*C13</x:f>
        <x:v>18000000</x:v>
      </x:c>
      <x:c r="D34" s="121" t="n">
        <x:f>D8*D9+D10*D11+D12*D13</x:f>
        <x:v>17640000</x:v>
      </x:c>
      <x:c r="E34" s="121" t="n">
        <x:f>E8*E9+E10*E11+E12*E13</x:f>
        <x:v>18107600</x:v>
      </x:c>
      <x:c r="F34" s="106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106"/>
      <x:c r="Q34" s="106"/>
      <x:c r="R34" s="106"/>
      <x:c r="S34" s="106"/>
      <x:c r="T34" s="106"/>
      <x:c r="U34" s="106"/>
      <x:c r="V34" s="106"/>
      <x:c r="W34" s="106"/>
      <x:c r="X34" s="106"/>
      <x:c r="Y34" s="106"/>
      <x:c r="Z34" s="106"/>
    </x:row>
    <x:row r="35">
      <x:c r="A35" s="106"/>
      <x:c r="B35" s="106"/>
      <x:c r="C35" s="106"/>
      <x:c r="D35" s="106"/>
      <x:c r="E35" s="106"/>
      <x:c r="F35" s="106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106"/>
      <x:c r="Q35" s="106"/>
      <x:c r="R35" s="106"/>
      <x:c r="S35" s="106"/>
      <x:c r="T35" s="106"/>
      <x:c r="U35" s="106"/>
      <x:c r="V35" s="106"/>
      <x:c r="W35" s="106"/>
      <x:c r="X35" s="106"/>
      <x:c r="Y35" s="106"/>
      <x:c r="Z35" s="106"/>
    </x:row>
    <x:row r="36">
      <x:c r="A36" s="106"/>
      <x:c r="B36" s="106"/>
      <x:c r="C36" s="106"/>
      <x:c r="D36" s="106"/>
      <x:c r="E36" s="106"/>
      <x:c r="F36" s="106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106"/>
      <x:c r="Q36" s="106"/>
      <x:c r="R36" s="106"/>
      <x:c r="S36" s="106"/>
      <x:c r="T36" s="106"/>
      <x:c r="U36" s="106"/>
      <x:c r="V36" s="106"/>
      <x:c r="W36" s="106"/>
      <x:c r="X36" s="106"/>
      <x:c r="Y36" s="106"/>
      <x:c r="Z36" s="106"/>
    </x:row>
    <x:row r="37">
      <x:c r="A37" s="106"/>
      <x:c r="B37" s="106"/>
      <x:c r="C37" s="106"/>
      <x:c r="D37" s="106"/>
      <x:c r="E37" s="106"/>
      <x:c r="F37" s="106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106"/>
      <x:c r="Q37" s="106"/>
      <x:c r="R37" s="106"/>
      <x:c r="S37" s="106"/>
      <x:c r="T37" s="106"/>
      <x:c r="U37" s="106"/>
      <x:c r="V37" s="106"/>
      <x:c r="W37" s="106"/>
      <x:c r="X37" s="106"/>
      <x:c r="Y37" s="106"/>
      <x:c r="Z37" s="106"/>
    </x:row>
    <x:row r="38">
      <x:c r="A38" s="106"/>
      <x:c r="B38" s="106"/>
      <x:c r="C38" s="106"/>
      <x:c r="D38" s="106"/>
      <x:c r="E38" s="106"/>
      <x:c r="F38" s="106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106"/>
      <x:c r="Q38" s="106"/>
      <x:c r="R38" s="106"/>
      <x:c r="S38" s="106"/>
      <x:c r="T38" s="106"/>
      <x:c r="U38" s="106"/>
      <x:c r="V38" s="106"/>
      <x:c r="W38" s="106"/>
      <x:c r="X38" s="106"/>
      <x:c r="Y38" s="106"/>
      <x:c r="Z38" s="106"/>
    </x:row>
    <x:row r="39">
      <x:c r="A39" s="106"/>
      <x:c r="B39" s="106"/>
      <x:c r="C39" s="106"/>
      <x:c r="D39" s="106"/>
      <x:c r="E39" s="106"/>
      <x:c r="F39" s="106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106"/>
      <x:c r="Q39" s="106"/>
      <x:c r="R39" s="106"/>
      <x:c r="S39" s="106"/>
      <x:c r="T39" s="106"/>
      <x:c r="U39" s="106"/>
      <x:c r="V39" s="106"/>
      <x:c r="W39" s="106"/>
      <x:c r="X39" s="106"/>
      <x:c r="Y39" s="106"/>
      <x:c r="Z39" s="106"/>
    </x:row>
    <x:row r="40">
      <x:c r="A40" s="106"/>
      <x:c r="B40" s="106"/>
      <x:c r="C40" s="106"/>
      <x:c r="D40" s="106"/>
      <x:c r="E40" s="106"/>
      <x:c r="F40" s="106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106"/>
      <x:c r="Q40" s="106"/>
      <x:c r="R40" s="106"/>
      <x:c r="S40" s="106"/>
      <x:c r="T40" s="106"/>
      <x:c r="U40" s="106"/>
      <x:c r="V40" s="106"/>
      <x:c r="W40" s="106"/>
      <x:c r="X40" s="106"/>
      <x:c r="Y40" s="106"/>
      <x:c r="Z40" s="106"/>
    </x:row>
    <x:row r="41">
      <x:c r="A41" s="106"/>
      <x:c r="B41" s="106"/>
      <x:c r="C41" s="106"/>
      <x:c r="D41" s="106"/>
      <x:c r="E41" s="106"/>
      <x:c r="F41" s="106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106"/>
      <x:c r="Q41" s="106"/>
      <x:c r="R41" s="106"/>
      <x:c r="S41" s="106"/>
      <x:c r="T41" s="106"/>
      <x:c r="U41" s="106"/>
      <x:c r="V41" s="106"/>
      <x:c r="W41" s="106"/>
      <x:c r="X41" s="106"/>
      <x:c r="Y41" s="106"/>
      <x:c r="Z41" s="106"/>
    </x:row>
    <x:row r="42">
      <x:c r="A42" s="106"/>
      <x:c r="B42" s="106"/>
      <x:c r="C42" s="106"/>
      <x:c r="D42" s="106"/>
      <x:c r="E42" s="106"/>
      <x:c r="F42" s="106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106"/>
      <x:c r="Q42" s="106"/>
      <x:c r="R42" s="106"/>
      <x:c r="S42" s="106"/>
      <x:c r="T42" s="106"/>
      <x:c r="U42" s="106"/>
      <x:c r="V42" s="106"/>
      <x:c r="W42" s="106"/>
      <x:c r="X42" s="106"/>
      <x:c r="Y42" s="106"/>
      <x:c r="Z42" s="106"/>
    </x:row>
    <x:row r="43">
      <x:c r="A43" s="106"/>
      <x:c r="B43" s="106"/>
      <x:c r="C43" s="106"/>
      <x:c r="D43" s="106"/>
      <x:c r="E43" s="106"/>
      <x:c r="F43" s="106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106"/>
      <x:c r="Q43" s="106"/>
      <x:c r="R43" s="106"/>
      <x:c r="S43" s="106"/>
      <x:c r="T43" s="106"/>
      <x:c r="U43" s="106"/>
      <x:c r="V43" s="106"/>
      <x:c r="W43" s="106"/>
      <x:c r="X43" s="106"/>
      <x:c r="Y43" s="106"/>
      <x:c r="Z43" s="106"/>
    </x:row>
    <x:row r="44">
      <x:c r="A44" s="106"/>
      <x:c r="B44" s="106"/>
      <x:c r="C44" s="106"/>
      <x:c r="D44" s="106"/>
      <x:c r="E44" s="106"/>
      <x:c r="F44" s="106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106"/>
      <x:c r="Q44" s="106"/>
      <x:c r="R44" s="106"/>
      <x:c r="S44" s="106"/>
      <x:c r="T44" s="106"/>
      <x:c r="U44" s="106"/>
      <x:c r="V44" s="106"/>
      <x:c r="W44" s="106"/>
      <x:c r="X44" s="106"/>
      <x:c r="Y44" s="106"/>
      <x:c r="Z44" s="106"/>
    </x:row>
    <x:row r="45">
      <x:c r="A45" s="106"/>
      <x:c r="B45" s="106"/>
      <x:c r="C45" s="106"/>
      <x:c r="D45" s="106"/>
      <x:c r="E45" s="106"/>
      <x:c r="F45" s="106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106"/>
      <x:c r="Q45" s="106"/>
      <x:c r="R45" s="106"/>
      <x:c r="S45" s="106"/>
      <x:c r="T45" s="106"/>
      <x:c r="U45" s="106"/>
      <x:c r="V45" s="106"/>
      <x:c r="W45" s="106"/>
      <x:c r="X45" s="106"/>
      <x:c r="Y45" s="106"/>
      <x:c r="Z45" s="106"/>
    </x:row>
    <x:row r="46">
      <x:c r="A46" s="106"/>
      <x:c r="B46" s="106"/>
      <x:c r="C46" s="106"/>
      <x:c r="D46" s="106"/>
      <x:c r="E46" s="106"/>
      <x:c r="F46" s="106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106"/>
      <x:c r="Q46" s="106"/>
      <x:c r="R46" s="106"/>
      <x:c r="S46" s="106"/>
      <x:c r="T46" s="106"/>
      <x:c r="U46" s="106"/>
      <x:c r="V46" s="106"/>
      <x:c r="W46" s="106"/>
      <x:c r="X46" s="106"/>
      <x:c r="Y46" s="106"/>
      <x:c r="Z46" s="106"/>
    </x:row>
    <x:row r="47">
      <x:c r="A47" s="106"/>
      <x:c r="B47" s="106"/>
      <x:c r="C47" s="106"/>
      <x:c r="D47" s="106"/>
      <x:c r="E47" s="106"/>
      <x:c r="F47" s="106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106"/>
      <x:c r="Q47" s="106"/>
      <x:c r="R47" s="106"/>
      <x:c r="S47" s="106"/>
      <x:c r="T47" s="106"/>
      <x:c r="U47" s="106"/>
      <x:c r="V47" s="106"/>
      <x:c r="W47" s="106"/>
      <x:c r="X47" s="106"/>
      <x:c r="Y47" s="106"/>
      <x:c r="Z47" s="106"/>
    </x:row>
    <x:row r="48">
      <x:c r="A48" s="106"/>
      <x:c r="B48" s="106"/>
      <x:c r="C48" s="106"/>
      <x:c r="D48" s="106"/>
      <x:c r="E48" s="106"/>
      <x:c r="F48" s="106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106"/>
      <x:c r="Q48" s="106"/>
      <x:c r="R48" s="106"/>
      <x:c r="S48" s="106"/>
      <x:c r="T48" s="106"/>
      <x:c r="U48" s="106"/>
      <x:c r="V48" s="106"/>
      <x:c r="W48" s="106"/>
      <x:c r="X48" s="106"/>
      <x:c r="Y48" s="106"/>
      <x:c r="Z48" s="106"/>
    </x:row>
    <x:row r="49">
      <x:c r="A49" s="106"/>
      <x:c r="B49" s="106"/>
      <x:c r="C49" s="106"/>
      <x:c r="D49" s="106"/>
      <x:c r="E49" s="106"/>
      <x:c r="F49" s="106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106"/>
      <x:c r="Q49" s="106"/>
      <x:c r="R49" s="106"/>
      <x:c r="S49" s="106"/>
      <x:c r="T49" s="106"/>
      <x:c r="U49" s="106"/>
      <x:c r="V49" s="106"/>
      <x:c r="W49" s="106"/>
      <x:c r="X49" s="106"/>
      <x:c r="Y49" s="106"/>
      <x:c r="Z49" s="106"/>
    </x:row>
    <x:row r="50">
      <x:c r="A50" s="106"/>
      <x:c r="B50" s="106"/>
      <x:c r="C50" s="106"/>
      <x:c r="D50" s="106"/>
      <x:c r="E50" s="106"/>
      <x:c r="F50" s="106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106"/>
      <x:c r="Q50" s="106"/>
      <x:c r="R50" s="106"/>
      <x:c r="S50" s="106"/>
      <x:c r="T50" s="106"/>
      <x:c r="U50" s="106"/>
      <x:c r="V50" s="106"/>
      <x:c r="W50" s="106"/>
      <x:c r="X50" s="106"/>
      <x:c r="Y50" s="106"/>
      <x:c r="Z50" s="106"/>
    </x:row>
    <x:row r="51">
      <x:c r="A51" s="106"/>
      <x:c r="B51" s="106"/>
      <x:c r="C51" s="106"/>
      <x:c r="D51" s="106"/>
      <x:c r="E51" s="106"/>
      <x:c r="F51" s="106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106"/>
      <x:c r="Q51" s="106"/>
      <x:c r="R51" s="106"/>
      <x:c r="S51" s="106"/>
      <x:c r="T51" s="106"/>
      <x:c r="U51" s="106"/>
      <x:c r="V51" s="106"/>
      <x:c r="W51" s="106"/>
      <x:c r="X51" s="106"/>
      <x:c r="Y51" s="106"/>
      <x:c r="Z51" s="106"/>
    </x:row>
    <x:row r="52">
      <x:c r="A52" s="106"/>
      <x:c r="B52" s="106"/>
      <x:c r="C52" s="106"/>
      <x:c r="D52" s="106"/>
      <x:c r="E52" s="106"/>
      <x:c r="F52" s="106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106"/>
      <x:c r="Q52" s="106"/>
      <x:c r="R52" s="106"/>
      <x:c r="S52" s="106"/>
      <x:c r="T52" s="106"/>
      <x:c r="U52" s="106"/>
      <x:c r="V52" s="106"/>
      <x:c r="W52" s="106"/>
      <x:c r="X52" s="106"/>
      <x:c r="Y52" s="106"/>
      <x:c r="Z52" s="106"/>
    </x:row>
    <x:row r="53">
      <x:c r="A53" s="106"/>
      <x:c r="B53" s="106"/>
      <x:c r="C53" s="106"/>
      <x:c r="D53" s="106"/>
      <x:c r="E53" s="106"/>
      <x:c r="F53" s="106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106"/>
      <x:c r="Q53" s="106"/>
      <x:c r="R53" s="106"/>
      <x:c r="S53" s="106"/>
      <x:c r="T53" s="106"/>
      <x:c r="U53" s="106"/>
      <x:c r="V53" s="106"/>
      <x:c r="W53" s="106"/>
      <x:c r="X53" s="106"/>
      <x:c r="Y53" s="106"/>
      <x:c r="Z53" s="106"/>
    </x:row>
    <x:row r="54">
      <x:c r="A54" s="106"/>
      <x:c r="B54" s="106"/>
      <x:c r="C54" s="106"/>
      <x:c r="D54" s="106"/>
      <x:c r="E54" s="106"/>
      <x:c r="F54" s="106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106"/>
      <x:c r="Q54" s="106"/>
      <x:c r="R54" s="106"/>
      <x:c r="S54" s="106"/>
      <x:c r="T54" s="106"/>
      <x:c r="U54" s="106"/>
      <x:c r="V54" s="106"/>
      <x:c r="W54" s="106"/>
      <x:c r="X54" s="106"/>
      <x:c r="Y54" s="106"/>
      <x:c r="Z54" s="106"/>
    </x:row>
    <x:row r="55">
      <x:c r="A55" s="106"/>
      <x:c r="B55" s="106"/>
      <x:c r="C55" s="106"/>
      <x:c r="D55" s="106"/>
      <x:c r="E55" s="106"/>
      <x:c r="F55" s="106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106"/>
      <x:c r="Q55" s="106"/>
      <x:c r="R55" s="106"/>
      <x:c r="S55" s="106"/>
      <x:c r="T55" s="106"/>
      <x:c r="U55" s="106"/>
      <x:c r="V55" s="106"/>
      <x:c r="W55" s="106"/>
      <x:c r="X55" s="106"/>
      <x:c r="Y55" s="106"/>
      <x:c r="Z55" s="106"/>
    </x:row>
    <x:row r="56">
      <x:c r="A56" s="106"/>
      <x:c r="B56" s="106"/>
      <x:c r="C56" s="106"/>
      <x:c r="D56" s="106"/>
      <x:c r="E56" s="106"/>
      <x:c r="F56" s="106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106"/>
      <x:c r="Q56" s="106"/>
      <x:c r="R56" s="106"/>
      <x:c r="S56" s="106"/>
      <x:c r="T56" s="106"/>
      <x:c r="U56" s="106"/>
      <x:c r="V56" s="106"/>
      <x:c r="W56" s="106"/>
      <x:c r="X56" s="106"/>
      <x:c r="Y56" s="106"/>
      <x:c r="Z56" s="106"/>
    </x:row>
    <x:row r="57">
      <x:c r="A57" s="106"/>
      <x:c r="B57" s="106"/>
      <x:c r="C57" s="106"/>
      <x:c r="D57" s="106"/>
      <x:c r="E57" s="106"/>
      <x:c r="F57" s="106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106"/>
      <x:c r="Q57" s="106"/>
      <x:c r="R57" s="106"/>
      <x:c r="S57" s="106"/>
      <x:c r="T57" s="106"/>
      <x:c r="U57" s="106"/>
      <x:c r="V57" s="106"/>
      <x:c r="W57" s="106"/>
      <x:c r="X57" s="106"/>
      <x:c r="Y57" s="106"/>
      <x:c r="Z57" s="106"/>
    </x:row>
    <x:row r="58">
      <x:c r="A58" s="106"/>
      <x:c r="B58" s="106"/>
      <x:c r="C58" s="106"/>
      <x:c r="D58" s="106"/>
      <x:c r="E58" s="106"/>
      <x:c r="F58" s="106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106"/>
      <x:c r="Q58" s="106"/>
      <x:c r="R58" s="106"/>
      <x:c r="S58" s="106"/>
      <x:c r="T58" s="106"/>
      <x:c r="U58" s="106"/>
      <x:c r="V58" s="106"/>
      <x:c r="W58" s="106"/>
      <x:c r="X58" s="106"/>
      <x:c r="Y58" s="106"/>
      <x:c r="Z58" s="106"/>
    </x:row>
    <x:row r="59">
      <x:c r="A59" s="106"/>
      <x:c r="B59" s="106"/>
      <x:c r="C59" s="106"/>
      <x:c r="D59" s="106"/>
      <x:c r="E59" s="106"/>
      <x:c r="F59" s="106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106"/>
      <x:c r="Q59" s="106"/>
      <x:c r="R59" s="106"/>
      <x:c r="S59" s="106"/>
      <x:c r="T59" s="106"/>
      <x:c r="U59" s="106"/>
      <x:c r="V59" s="106"/>
      <x:c r="W59" s="106"/>
      <x:c r="X59" s="106"/>
      <x:c r="Y59" s="106"/>
      <x:c r="Z59" s="106"/>
    </x:row>
    <x:row r="60">
      <x:c r="A60" s="106"/>
      <x:c r="B60" s="106"/>
      <x:c r="C60" s="106"/>
      <x:c r="D60" s="106"/>
      <x:c r="E60" s="106"/>
      <x:c r="F60" s="106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106"/>
      <x:c r="Q60" s="106"/>
      <x:c r="R60" s="106"/>
      <x:c r="S60" s="106"/>
      <x:c r="T60" s="106"/>
      <x:c r="U60" s="106"/>
      <x:c r="V60" s="106"/>
      <x:c r="W60" s="106"/>
      <x:c r="X60" s="106"/>
      <x:c r="Y60" s="106"/>
      <x:c r="Z60" s="106"/>
    </x:row>
    <x:row r="61">
      <x:c r="A61" s="106"/>
      <x:c r="B61" s="106"/>
      <x:c r="C61" s="106"/>
      <x:c r="D61" s="106"/>
      <x:c r="E61" s="106"/>
      <x:c r="F61" s="106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106"/>
      <x:c r="Q61" s="106"/>
      <x:c r="R61" s="106"/>
      <x:c r="S61" s="106"/>
      <x:c r="T61" s="106"/>
      <x:c r="U61" s="106"/>
      <x:c r="V61" s="106"/>
      <x:c r="W61" s="106"/>
      <x:c r="X61" s="106"/>
      <x:c r="Y61" s="106"/>
      <x:c r="Z61" s="106"/>
    </x:row>
    <x:row r="62">
      <x:c r="A62" s="106"/>
      <x:c r="B62" s="106"/>
      <x:c r="C62" s="106"/>
      <x:c r="D62" s="106"/>
      <x:c r="E62" s="106"/>
      <x:c r="F62" s="106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106"/>
      <x:c r="Q62" s="106"/>
      <x:c r="R62" s="106"/>
      <x:c r="S62" s="106"/>
      <x:c r="T62" s="106"/>
      <x:c r="U62" s="106"/>
      <x:c r="V62" s="106"/>
      <x:c r="W62" s="106"/>
      <x:c r="X62" s="106"/>
      <x:c r="Y62" s="106"/>
      <x:c r="Z62" s="106"/>
    </x:row>
    <x:row r="63">
      <x:c r="A63" s="106"/>
      <x:c r="B63" s="106"/>
      <x:c r="C63" s="106"/>
      <x:c r="D63" s="106"/>
      <x:c r="E63" s="106"/>
      <x:c r="F63" s="106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106"/>
      <x:c r="Q63" s="106"/>
      <x:c r="R63" s="106"/>
      <x:c r="S63" s="106"/>
      <x:c r="T63" s="106"/>
      <x:c r="U63" s="106"/>
      <x:c r="V63" s="106"/>
      <x:c r="W63" s="106"/>
      <x:c r="X63" s="106"/>
      <x:c r="Y63" s="106"/>
      <x:c r="Z63" s="106"/>
    </x:row>
    <x:row r="64">
      <x:c r="A64" s="106"/>
      <x:c r="B64" s="106"/>
      <x:c r="C64" s="106"/>
      <x:c r="D64" s="106"/>
      <x:c r="E64" s="106"/>
      <x:c r="F64" s="106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106"/>
      <x:c r="Q64" s="106"/>
      <x:c r="R64" s="106"/>
      <x:c r="S64" s="106"/>
      <x:c r="T64" s="106"/>
      <x:c r="U64" s="106"/>
      <x:c r="V64" s="106"/>
      <x:c r="W64" s="106"/>
      <x:c r="X64" s="106"/>
      <x:c r="Y64" s="106"/>
      <x:c r="Z64" s="106"/>
    </x:row>
    <x:row r="65">
      <x:c r="A65" s="106"/>
      <x:c r="B65" s="106"/>
      <x:c r="C65" s="106"/>
      <x:c r="D65" s="106"/>
      <x:c r="E65" s="106"/>
      <x:c r="F65" s="106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106"/>
      <x:c r="Q65" s="106"/>
      <x:c r="R65" s="106"/>
      <x:c r="S65" s="106"/>
      <x:c r="T65" s="106"/>
      <x:c r="U65" s="106"/>
      <x:c r="V65" s="106"/>
      <x:c r="W65" s="106"/>
      <x:c r="X65" s="106"/>
      <x:c r="Y65" s="106"/>
      <x:c r="Z65" s="106"/>
    </x:row>
    <x:row r="66">
      <x:c r="A66" s="106"/>
      <x:c r="B66" s="106"/>
      <x:c r="C66" s="106"/>
      <x:c r="D66" s="106"/>
      <x:c r="E66" s="106"/>
      <x:c r="F66" s="106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106"/>
      <x:c r="Q66" s="106"/>
      <x:c r="R66" s="106"/>
      <x:c r="S66" s="106"/>
      <x:c r="T66" s="106"/>
      <x:c r="U66" s="106"/>
      <x:c r="V66" s="106"/>
      <x:c r="W66" s="106"/>
      <x:c r="X66" s="106"/>
      <x:c r="Y66" s="106"/>
      <x:c r="Z66" s="106"/>
    </x:row>
    <x:row r="67">
      <x:c r="A67" s="106"/>
      <x:c r="B67" s="106"/>
      <x:c r="C67" s="106"/>
      <x:c r="D67" s="106"/>
      <x:c r="E67" s="106"/>
      <x:c r="F67" s="106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106"/>
      <x:c r="Q67" s="106"/>
      <x:c r="R67" s="106"/>
      <x:c r="S67" s="106"/>
      <x:c r="T67" s="106"/>
      <x:c r="U67" s="106"/>
      <x:c r="V67" s="106"/>
      <x:c r="W67" s="106"/>
      <x:c r="X67" s="106"/>
      <x:c r="Y67" s="106"/>
      <x:c r="Z67" s="106"/>
    </x:row>
    <x:row r="68">
      <x:c r="A68" s="106"/>
      <x:c r="B68" s="106"/>
      <x:c r="C68" s="106"/>
      <x:c r="D68" s="106"/>
      <x:c r="E68" s="106"/>
      <x:c r="F68" s="106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106"/>
      <x:c r="Q68" s="106"/>
      <x:c r="R68" s="106"/>
      <x:c r="S68" s="106"/>
      <x:c r="T68" s="106"/>
      <x:c r="U68" s="106"/>
      <x:c r="V68" s="106"/>
      <x:c r="W68" s="106"/>
      <x:c r="X68" s="106"/>
      <x:c r="Y68" s="106"/>
      <x:c r="Z68" s="106"/>
    </x:row>
    <x:row r="69">
      <x:c r="A69" s="106"/>
      <x:c r="B69" s="106"/>
      <x:c r="C69" s="106"/>
      <x:c r="D69" s="106"/>
      <x:c r="E69" s="106"/>
      <x:c r="F69" s="106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106"/>
      <x:c r="Q69" s="106"/>
      <x:c r="R69" s="106"/>
      <x:c r="S69" s="106"/>
      <x:c r="T69" s="106"/>
      <x:c r="U69" s="106"/>
      <x:c r="V69" s="106"/>
      <x:c r="W69" s="106"/>
      <x:c r="X69" s="106"/>
      <x:c r="Y69" s="106"/>
      <x:c r="Z69" s="106"/>
    </x:row>
    <x:row r="70">
      <x:c r="A70" s="106"/>
      <x:c r="B70" s="106"/>
      <x:c r="C70" s="106"/>
      <x:c r="D70" s="106"/>
      <x:c r="E70" s="106"/>
      <x:c r="F70" s="106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106"/>
      <x:c r="Q70" s="106"/>
      <x:c r="R70" s="106"/>
      <x:c r="S70" s="106"/>
      <x:c r="T70" s="106"/>
      <x:c r="U70" s="106"/>
      <x:c r="V70" s="106"/>
      <x:c r="W70" s="106"/>
      <x:c r="X70" s="106"/>
      <x:c r="Y70" s="106"/>
      <x:c r="Z70" s="106"/>
    </x:row>
    <x:row r="71">
      <x:c r="A71" s="106"/>
      <x:c r="B71" s="106"/>
      <x:c r="C71" s="106"/>
      <x:c r="D71" s="106"/>
      <x:c r="E71" s="106"/>
      <x:c r="F71" s="106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106"/>
      <x:c r="Q71" s="106"/>
      <x:c r="R71" s="106"/>
      <x:c r="S71" s="106"/>
      <x:c r="T71" s="106"/>
      <x:c r="U71" s="106"/>
      <x:c r="V71" s="106"/>
      <x:c r="W71" s="106"/>
      <x:c r="X71" s="106"/>
      <x:c r="Y71" s="106"/>
      <x:c r="Z71" s="106"/>
    </x:row>
    <x:row r="72">
      <x:c r="A72" s="106"/>
      <x:c r="B72" s="106"/>
      <x:c r="C72" s="106"/>
      <x:c r="D72" s="106"/>
      <x:c r="E72" s="106"/>
      <x:c r="F72" s="106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106"/>
      <x:c r="Q72" s="106"/>
      <x:c r="R72" s="106"/>
      <x:c r="S72" s="106"/>
      <x:c r="T72" s="106"/>
      <x:c r="U72" s="106"/>
      <x:c r="V72" s="106"/>
      <x:c r="W72" s="106"/>
      <x:c r="X72" s="106"/>
      <x:c r="Y72" s="106"/>
      <x:c r="Z72" s="106"/>
    </x:row>
    <x:row r="73">
      <x:c r="A73" s="106"/>
      <x:c r="B73" s="106"/>
      <x:c r="C73" s="106"/>
      <x:c r="D73" s="106"/>
      <x:c r="E73" s="106"/>
      <x:c r="F73" s="106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106"/>
      <x:c r="Q73" s="106"/>
      <x:c r="R73" s="106"/>
      <x:c r="S73" s="106"/>
      <x:c r="T73" s="106"/>
      <x:c r="U73" s="106"/>
      <x:c r="V73" s="106"/>
      <x:c r="W73" s="106"/>
      <x:c r="X73" s="106"/>
      <x:c r="Y73" s="106"/>
      <x:c r="Z73" s="106"/>
    </x:row>
    <x:row r="74">
      <x:c r="A74" s="106"/>
      <x:c r="B74" s="106"/>
      <x:c r="C74" s="106"/>
      <x:c r="D74" s="106"/>
      <x:c r="E74" s="106"/>
      <x:c r="F74" s="106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106"/>
      <x:c r="Q74" s="106"/>
      <x:c r="R74" s="106"/>
      <x:c r="S74" s="106"/>
      <x:c r="T74" s="106"/>
      <x:c r="U74" s="106"/>
      <x:c r="V74" s="106"/>
      <x:c r="W74" s="106"/>
      <x:c r="X74" s="106"/>
      <x:c r="Y74" s="106"/>
      <x:c r="Z74" s="106"/>
    </x:row>
    <x:row r="75">
      <x:c r="A75" s="106"/>
      <x:c r="B75" s="106"/>
      <x:c r="C75" s="106"/>
      <x:c r="D75" s="106"/>
      <x:c r="E75" s="106"/>
      <x:c r="F75" s="106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106"/>
      <x:c r="Q75" s="106"/>
      <x:c r="R75" s="106"/>
      <x:c r="S75" s="106"/>
      <x:c r="T75" s="106"/>
      <x:c r="U75" s="106"/>
      <x:c r="V75" s="106"/>
      <x:c r="W75" s="106"/>
      <x:c r="X75" s="106"/>
      <x:c r="Y75" s="106"/>
      <x:c r="Z75" s="106"/>
    </x:row>
    <x:row r="76">
      <x:c r="A76" s="106"/>
      <x:c r="B76" s="106"/>
      <x:c r="C76" s="106"/>
      <x:c r="D76" s="106"/>
      <x:c r="E76" s="106"/>
      <x:c r="F76" s="106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106"/>
      <x:c r="Q76" s="106"/>
      <x:c r="R76" s="106"/>
      <x:c r="S76" s="106"/>
      <x:c r="T76" s="106"/>
      <x:c r="U76" s="106"/>
      <x:c r="V76" s="106"/>
      <x:c r="W76" s="106"/>
      <x:c r="X76" s="106"/>
      <x:c r="Y76" s="106"/>
      <x:c r="Z76" s="106"/>
    </x:row>
    <x:row r="77">
      <x:c r="A77" s="106"/>
      <x:c r="B77" s="106"/>
      <x:c r="C77" s="106"/>
      <x:c r="D77" s="106"/>
      <x:c r="E77" s="106"/>
      <x:c r="F77" s="106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106"/>
      <x:c r="Q77" s="106"/>
      <x:c r="R77" s="106"/>
      <x:c r="S77" s="106"/>
      <x:c r="T77" s="106"/>
      <x:c r="U77" s="106"/>
      <x:c r="V77" s="106"/>
      <x:c r="W77" s="106"/>
      <x:c r="X77" s="106"/>
      <x:c r="Y77" s="106"/>
      <x:c r="Z77" s="106"/>
    </x:row>
    <x:row r="78">
      <x:c r="A78" s="106"/>
      <x:c r="B78" s="106"/>
      <x:c r="C78" s="106"/>
      <x:c r="D78" s="106"/>
      <x:c r="E78" s="106"/>
      <x:c r="F78" s="106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106"/>
      <x:c r="Q78" s="106"/>
      <x:c r="R78" s="106"/>
      <x:c r="S78" s="106"/>
      <x:c r="T78" s="106"/>
      <x:c r="U78" s="106"/>
      <x:c r="V78" s="106"/>
      <x:c r="W78" s="106"/>
      <x:c r="X78" s="106"/>
      <x:c r="Y78" s="106"/>
      <x:c r="Z78" s="106"/>
    </x:row>
    <x:row r="79">
      <x:c r="A79" s="106"/>
      <x:c r="B79" s="106"/>
      <x:c r="C79" s="106"/>
      <x:c r="D79" s="106"/>
      <x:c r="E79" s="106"/>
      <x:c r="F79" s="106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106"/>
      <x:c r="Q79" s="106"/>
      <x:c r="R79" s="106"/>
      <x:c r="S79" s="106"/>
      <x:c r="T79" s="106"/>
      <x:c r="U79" s="106"/>
      <x:c r="V79" s="106"/>
      <x:c r="W79" s="106"/>
      <x:c r="X79" s="106"/>
      <x:c r="Y79" s="106"/>
      <x:c r="Z79" s="106"/>
    </x:row>
    <x:row r="80">
      <x:c r="A80" s="106"/>
      <x:c r="B80" s="106"/>
      <x:c r="C80" s="106"/>
      <x:c r="D80" s="106"/>
      <x:c r="E80" s="106"/>
      <x:c r="F80" s="106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106"/>
      <x:c r="Q80" s="106"/>
      <x:c r="R80" s="106"/>
      <x:c r="S80" s="106"/>
      <x:c r="T80" s="106"/>
      <x:c r="U80" s="106"/>
      <x:c r="V80" s="106"/>
      <x:c r="W80" s="106"/>
      <x:c r="X80" s="106"/>
      <x:c r="Y80" s="106"/>
      <x:c r="Z80" s="106"/>
    </x:row>
    <x:row r="81">
      <x:c r="A81" s="106"/>
      <x:c r="B81" s="106"/>
      <x:c r="C81" s="106"/>
      <x:c r="D81" s="106"/>
      <x:c r="E81" s="106"/>
      <x:c r="F81" s="106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106"/>
      <x:c r="Q81" s="106"/>
      <x:c r="R81" s="106"/>
      <x:c r="S81" s="106"/>
      <x:c r="T81" s="106"/>
      <x:c r="U81" s="106"/>
      <x:c r="V81" s="106"/>
      <x:c r="W81" s="106"/>
      <x:c r="X81" s="106"/>
      <x:c r="Y81" s="106"/>
      <x:c r="Z81" s="106"/>
    </x:row>
    <x:row r="82">
      <x:c r="A82" s="106"/>
      <x:c r="B82" s="106"/>
      <x:c r="C82" s="106"/>
      <x:c r="D82" s="106"/>
      <x:c r="E82" s="106"/>
      <x:c r="F82" s="106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106"/>
      <x:c r="Q82" s="106"/>
      <x:c r="R82" s="106"/>
      <x:c r="S82" s="106"/>
      <x:c r="T82" s="106"/>
      <x:c r="U82" s="106"/>
      <x:c r="V82" s="106"/>
      <x:c r="W82" s="106"/>
      <x:c r="X82" s="106"/>
      <x:c r="Y82" s="106"/>
      <x:c r="Z82" s="106"/>
    </x:row>
    <x:row r="83">
      <x:c r="A83" s="106"/>
      <x:c r="B83" s="106"/>
      <x:c r="C83" s="106"/>
      <x:c r="D83" s="106"/>
      <x:c r="E83" s="106"/>
      <x:c r="F83" s="106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106"/>
      <x:c r="Q83" s="106"/>
      <x:c r="R83" s="106"/>
      <x:c r="S83" s="106"/>
      <x:c r="T83" s="106"/>
      <x:c r="U83" s="106"/>
      <x:c r="V83" s="106"/>
      <x:c r="W83" s="106"/>
      <x:c r="X83" s="106"/>
      <x:c r="Y83" s="106"/>
      <x:c r="Z83" s="106"/>
    </x:row>
    <x:row r="84">
      <x:c r="A84" s="106"/>
      <x:c r="B84" s="106"/>
      <x:c r="C84" s="106"/>
      <x:c r="D84" s="106"/>
      <x:c r="E84" s="106"/>
      <x:c r="F84" s="106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106"/>
      <x:c r="Q84" s="106"/>
      <x:c r="R84" s="106"/>
      <x:c r="S84" s="106"/>
      <x:c r="T84" s="106"/>
      <x:c r="U84" s="106"/>
      <x:c r="V84" s="106"/>
      <x:c r="W84" s="106"/>
      <x:c r="X84" s="106"/>
      <x:c r="Y84" s="106"/>
      <x:c r="Z84" s="106"/>
    </x:row>
    <x:row r="85">
      <x:c r="A85" s="106"/>
      <x:c r="B85" s="106"/>
      <x:c r="C85" s="106"/>
      <x:c r="D85" s="106"/>
      <x:c r="E85" s="106"/>
      <x:c r="F85" s="106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106"/>
      <x:c r="Q85" s="106"/>
      <x:c r="R85" s="106"/>
      <x:c r="S85" s="106"/>
      <x:c r="T85" s="106"/>
      <x:c r="U85" s="106"/>
      <x:c r="V85" s="106"/>
      <x:c r="W85" s="106"/>
      <x:c r="X85" s="106"/>
      <x:c r="Y85" s="106"/>
      <x:c r="Z85" s="106"/>
    </x:row>
    <x:row r="86">
      <x:c r="A86" s="106"/>
      <x:c r="B86" s="106"/>
      <x:c r="C86" s="106"/>
      <x:c r="D86" s="106"/>
      <x:c r="E86" s="106"/>
      <x:c r="F86" s="106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106"/>
      <x:c r="Q86" s="106"/>
      <x:c r="R86" s="106"/>
      <x:c r="S86" s="106"/>
      <x:c r="T86" s="106"/>
      <x:c r="U86" s="106"/>
      <x:c r="V86" s="106"/>
      <x:c r="W86" s="106"/>
      <x:c r="X86" s="106"/>
      <x:c r="Y86" s="106"/>
      <x:c r="Z86" s="106"/>
    </x:row>
    <x:row r="87">
      <x:c r="A87" s="106"/>
      <x:c r="B87" s="106"/>
      <x:c r="C87" s="106"/>
      <x:c r="D87" s="106"/>
      <x:c r="E87" s="106"/>
      <x:c r="F87" s="106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106"/>
      <x:c r="Q87" s="106"/>
      <x:c r="R87" s="106"/>
      <x:c r="S87" s="106"/>
      <x:c r="T87" s="106"/>
      <x:c r="U87" s="106"/>
      <x:c r="V87" s="106"/>
      <x:c r="W87" s="106"/>
      <x:c r="X87" s="106"/>
      <x:c r="Y87" s="106"/>
      <x:c r="Z87" s="106"/>
    </x:row>
    <x:row r="88">
      <x:c r="A88" s="106"/>
      <x:c r="B88" s="106"/>
      <x:c r="C88" s="106"/>
      <x:c r="D88" s="106"/>
      <x:c r="E88" s="106"/>
      <x:c r="F88" s="106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106"/>
      <x:c r="Q88" s="106"/>
      <x:c r="R88" s="106"/>
      <x:c r="S88" s="106"/>
      <x:c r="T88" s="106"/>
      <x:c r="U88" s="106"/>
      <x:c r="V88" s="106"/>
      <x:c r="W88" s="106"/>
      <x:c r="X88" s="106"/>
      <x:c r="Y88" s="106"/>
      <x:c r="Z88" s="106"/>
    </x:row>
    <x:row r="89">
      <x:c r="A89" s="106"/>
      <x:c r="B89" s="106"/>
      <x:c r="C89" s="106"/>
      <x:c r="D89" s="106"/>
      <x:c r="E89" s="106"/>
      <x:c r="F89" s="106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106"/>
      <x:c r="Q89" s="106"/>
      <x:c r="R89" s="106"/>
      <x:c r="S89" s="106"/>
      <x:c r="T89" s="106"/>
      <x:c r="U89" s="106"/>
      <x:c r="V89" s="106"/>
      <x:c r="W89" s="106"/>
      <x:c r="X89" s="106"/>
      <x:c r="Y89" s="106"/>
      <x:c r="Z89" s="106"/>
    </x:row>
    <x:row r="90">
      <x:c r="A90" s="106"/>
      <x:c r="B90" s="106"/>
      <x:c r="C90" s="106"/>
      <x:c r="D90" s="106"/>
      <x:c r="E90" s="106"/>
      <x:c r="F90" s="106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106"/>
      <x:c r="Q90" s="106"/>
      <x:c r="R90" s="106"/>
      <x:c r="S90" s="106"/>
      <x:c r="T90" s="106"/>
      <x:c r="U90" s="106"/>
      <x:c r="V90" s="106"/>
      <x:c r="W90" s="106"/>
      <x:c r="X90" s="106"/>
      <x:c r="Y90" s="106"/>
      <x:c r="Z90" s="106"/>
    </x:row>
    <x:row r="91">
      <x:c r="A91" s="106"/>
      <x:c r="B91" s="106"/>
      <x:c r="C91" s="106"/>
      <x:c r="D91" s="106"/>
      <x:c r="E91" s="106"/>
      <x:c r="F91" s="106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106"/>
      <x:c r="Q91" s="106"/>
      <x:c r="R91" s="106"/>
      <x:c r="S91" s="106"/>
      <x:c r="T91" s="106"/>
      <x:c r="U91" s="106"/>
      <x:c r="V91" s="106"/>
      <x:c r="W91" s="106"/>
      <x:c r="X91" s="106"/>
      <x:c r="Y91" s="106"/>
      <x:c r="Z91" s="106"/>
    </x:row>
    <x:row r="92">
      <x:c r="A92" s="106"/>
      <x:c r="B92" s="106"/>
      <x:c r="C92" s="106"/>
      <x:c r="D92" s="106"/>
      <x:c r="E92" s="106"/>
      <x:c r="F92" s="106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106"/>
      <x:c r="Q92" s="106"/>
      <x:c r="R92" s="106"/>
      <x:c r="S92" s="106"/>
      <x:c r="T92" s="106"/>
      <x:c r="U92" s="106"/>
      <x:c r="V92" s="106"/>
      <x:c r="W92" s="106"/>
      <x:c r="X92" s="106"/>
      <x:c r="Y92" s="106"/>
      <x:c r="Z92" s="106"/>
    </x:row>
    <x:row r="93">
      <x:c r="A93" s="106"/>
      <x:c r="B93" s="106"/>
      <x:c r="C93" s="106"/>
      <x:c r="D93" s="106"/>
      <x:c r="E93" s="106"/>
      <x:c r="F93" s="106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106"/>
      <x:c r="Q93" s="106"/>
      <x:c r="R93" s="106"/>
      <x:c r="S93" s="106"/>
      <x:c r="T93" s="106"/>
      <x:c r="U93" s="106"/>
      <x:c r="V93" s="106"/>
      <x:c r="W93" s="106"/>
      <x:c r="X93" s="106"/>
      <x:c r="Y93" s="106"/>
      <x:c r="Z93" s="106"/>
    </x:row>
    <x:row r="94">
      <x:c r="A94" s="106"/>
      <x:c r="B94" s="106"/>
      <x:c r="C94" s="106"/>
      <x:c r="D94" s="106"/>
      <x:c r="E94" s="106"/>
      <x:c r="F94" s="106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106"/>
      <x:c r="Q94" s="106"/>
      <x:c r="R94" s="106"/>
      <x:c r="S94" s="106"/>
      <x:c r="T94" s="106"/>
      <x:c r="U94" s="106"/>
      <x:c r="V94" s="106"/>
      <x:c r="W94" s="106"/>
      <x:c r="X94" s="106"/>
      <x:c r="Y94" s="106"/>
      <x:c r="Z94" s="106"/>
    </x:row>
    <x:row r="95">
      <x:c r="A95" s="106"/>
      <x:c r="B95" s="106"/>
      <x:c r="C95" s="106"/>
      <x:c r="D95" s="106"/>
      <x:c r="E95" s="106"/>
      <x:c r="F95" s="106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106"/>
      <x:c r="Q95" s="106"/>
      <x:c r="R95" s="106"/>
      <x:c r="S95" s="106"/>
      <x:c r="T95" s="106"/>
      <x:c r="U95" s="106"/>
      <x:c r="V95" s="106"/>
      <x:c r="W95" s="106"/>
      <x:c r="X95" s="106"/>
      <x:c r="Y95" s="106"/>
      <x:c r="Z95" s="106"/>
    </x:row>
    <x:row r="96">
      <x:c r="A96" s="106"/>
      <x:c r="B96" s="106"/>
      <x:c r="C96" s="106"/>
      <x:c r="D96" s="106"/>
      <x:c r="E96" s="106"/>
      <x:c r="F96" s="106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106"/>
      <x:c r="Q96" s="106"/>
      <x:c r="R96" s="106"/>
      <x:c r="S96" s="106"/>
      <x:c r="T96" s="106"/>
      <x:c r="U96" s="106"/>
      <x:c r="V96" s="106"/>
      <x:c r="W96" s="106"/>
      <x:c r="X96" s="106"/>
      <x:c r="Y96" s="106"/>
      <x:c r="Z96" s="106"/>
    </x:row>
    <x:row r="97">
      <x:c r="A97" s="106"/>
      <x:c r="B97" s="106"/>
      <x:c r="C97" s="106"/>
      <x:c r="D97" s="106"/>
      <x:c r="E97" s="106"/>
      <x:c r="F97" s="106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106"/>
      <x:c r="Q97" s="106"/>
      <x:c r="R97" s="106"/>
      <x:c r="S97" s="106"/>
      <x:c r="T97" s="106"/>
      <x:c r="U97" s="106"/>
      <x:c r="V97" s="106"/>
      <x:c r="W97" s="106"/>
      <x:c r="X97" s="106"/>
      <x:c r="Y97" s="106"/>
      <x:c r="Z97" s="106"/>
    </x:row>
    <x:row r="98">
      <x:c r="A98" s="106"/>
      <x:c r="B98" s="106"/>
      <x:c r="C98" s="106"/>
      <x:c r="D98" s="106"/>
      <x:c r="E98" s="106"/>
      <x:c r="F98" s="106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106"/>
      <x:c r="Q98" s="106"/>
      <x:c r="R98" s="106"/>
      <x:c r="S98" s="106"/>
      <x:c r="T98" s="106"/>
      <x:c r="U98" s="106"/>
      <x:c r="V98" s="106"/>
      <x:c r="W98" s="106"/>
      <x:c r="X98" s="106"/>
      <x:c r="Y98" s="106"/>
      <x:c r="Z98" s="106"/>
    </x:row>
    <x:row r="99">
      <x:c r="A99" s="106"/>
      <x:c r="B99" s="106"/>
      <x:c r="C99" s="106"/>
      <x:c r="D99" s="106"/>
      <x:c r="E99" s="106"/>
      <x:c r="F99" s="106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106"/>
      <x:c r="Q99" s="106"/>
      <x:c r="R99" s="106"/>
      <x:c r="S99" s="106"/>
      <x:c r="T99" s="106"/>
      <x:c r="U99" s="106"/>
      <x:c r="V99" s="106"/>
      <x:c r="W99" s="106"/>
      <x:c r="X99" s="106"/>
      <x:c r="Y99" s="106"/>
      <x:c r="Z99" s="106"/>
    </x:row>
    <x:row r="100">
      <x:c r="A100" s="106"/>
      <x:c r="B100" s="106"/>
      <x:c r="C100" s="106"/>
      <x:c r="D100" s="106"/>
      <x:c r="E100" s="106"/>
      <x:c r="F100" s="106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106"/>
      <x:c r="Q100" s="106"/>
      <x:c r="R100" s="106"/>
      <x:c r="S100" s="106"/>
      <x:c r="T100" s="106"/>
      <x:c r="U100" s="106"/>
      <x:c r="V100" s="106"/>
      <x:c r="W100" s="106"/>
      <x:c r="X100" s="106"/>
      <x:c r="Y100" s="106"/>
      <x:c r="Z100" s="106"/>
    </x:row>
  </x:sheetData>
  <x:mergeCells>
    <x:mergeCell ref="A1:G1"/>
    <x:mergeCell ref="A2:G2"/>
    <x:mergeCell ref="A29:G2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8" hidden="0" customWidth="1"/>
    <x:col min="8" max="8" width="30" hidden="0" customWidth="1"/>
  </x:cols>
  <x:sheetData>
    <x:row r="1" ht="30" customHeight="1">
      <x:c r="A1" s="117" t="str">
        <x:v>02. P&amp;L Diagnostic</x:v>
      </x:c>
      <x:c r="B1" s="117"/>
      <x:c r="C1" s="117"/>
      <x:c r="D1" s="117"/>
      <x:c r="E1" s="117"/>
      <x:c r="F1" s="117"/>
      <x:c r="G1" s="117"/>
      <x:c r="H1" s="117"/>
      <x:c r="I1" s="106"/>
      <x:c r="J1" s="106"/>
      <x:c r="K1" s="106"/>
      <x:c r="L1" s="106"/>
      <x:c r="M1" s="106"/>
      <x:c r="N1" s="106"/>
      <x:c r="O1" s="106"/>
      <x:c r="P1" s="106"/>
      <x:c r="Q1" s="106"/>
      <x:c r="R1" s="106"/>
      <x:c r="S1" s="106"/>
      <x:c r="T1" s="106"/>
      <x:c r="U1" s="106"/>
      <x:c r="V1" s="106"/>
      <x:c r="W1" s="106"/>
      <x:c r="X1" s="106"/>
      <x:c r="Y1" s="106"/>
      <x:c r="Z1" s="106"/>
    </x:row>
    <x:row r="2" ht="28" customHeight="1">
      <x:c r="A2" s="107" t="str">
        <x:v>Budget versus Actual performance. Favorable/(unfavorable) presentation uses the operating sign convention.</x:v>
      </x:c>
      <x:c r="B2" s="107"/>
      <x:c r="C2" s="107"/>
      <x:c r="D2" s="107"/>
      <x:c r="E2" s="107"/>
      <x:c r="F2" s="107"/>
      <x:c r="G2" s="107"/>
      <x:c r="H2" s="107"/>
      <x:c r="I2" s="106"/>
      <x:c r="J2" s="106"/>
      <x:c r="K2" s="106"/>
      <x:c r="L2" s="106"/>
      <x:c r="M2" s="106"/>
      <x:c r="N2" s="106"/>
      <x:c r="O2" s="106"/>
      <x:c r="P2" s="106"/>
      <x:c r="Q2" s="106"/>
      <x:c r="R2" s="106"/>
      <x:c r="S2" s="106"/>
      <x:c r="T2" s="106"/>
      <x:c r="U2" s="106"/>
      <x:c r="V2" s="106"/>
      <x:c r="W2" s="106"/>
      <x:c r="X2" s="106"/>
      <x:c r="Y2" s="106"/>
      <x:c r="Z2" s="106"/>
    </x:row>
    <x:row r="3">
      <x:c r="A3" s="106"/>
      <x:c r="B3" s="106"/>
      <x:c r="C3" s="106"/>
      <x:c r="D3" s="106"/>
      <x:c r="E3" s="106"/>
      <x:c r="F3" s="106"/>
      <x:c r="G3" s="106"/>
      <x:c r="H3" s="106"/>
      <x:c r="I3" s="106"/>
      <x:c r="J3" s="106"/>
      <x:c r="K3" s="106"/>
      <x:c r="L3" s="106"/>
      <x:c r="M3" s="106"/>
      <x:c r="N3" s="106"/>
      <x:c r="O3" s="106"/>
      <x:c r="P3" s="106"/>
      <x:c r="Q3" s="106"/>
      <x:c r="R3" s="106"/>
      <x:c r="S3" s="106"/>
      <x:c r="T3" s="106"/>
      <x:c r="U3" s="106"/>
      <x:c r="V3" s="106"/>
      <x:c r="W3" s="106"/>
      <x:c r="X3" s="106"/>
      <x:c r="Y3" s="106"/>
      <x:c r="Z3" s="106"/>
    </x:row>
    <x:row r="4">
      <x:c r="A4" s="110" t="str">
        <x:v>P&amp;L line</x:v>
      </x:c>
      <x:c r="B4" s="110" t="str">
        <x:v>Type</x:v>
      </x:c>
      <x:c r="C4" s="110" t="str">
        <x:v>Budget (HK$)</x:v>
      </x:c>
      <x:c r="D4" s="110" t="str">
        <x:v>Actual (HK$)</x:v>
      </x:c>
      <x:c r="E4" s="110" t="str">
        <x:v>Variance F/(U)</x:v>
      </x:c>
      <x:c r="F4" s="110" t="str">
        <x:v>Variance %</x:v>
      </x:c>
      <x:c r="G4" s="110" t="str">
        <x:v>Primary driver</x:v>
      </x:c>
      <x:c r="H4" s="110" t="str">
        <x:v>Read-through</x:v>
      </x:c>
      <x:c r="I4" s="106"/>
      <x:c r="J4" s="106"/>
      <x:c r="K4" s="106"/>
      <x:c r="L4" s="106"/>
      <x:c r="M4" s="106"/>
      <x:c r="N4" s="106"/>
      <x:c r="O4" s="106"/>
      <x:c r="P4" s="106"/>
      <x:c r="Q4" s="106"/>
      <x:c r="R4" s="106"/>
      <x:c r="S4" s="106"/>
      <x:c r="T4" s="106"/>
      <x:c r="U4" s="106"/>
      <x:c r="V4" s="106"/>
      <x:c r="W4" s="106"/>
      <x:c r="X4" s="106"/>
      <x:c r="Y4" s="106"/>
      <x:c r="Z4" s="106"/>
    </x:row>
    <x:row r="5">
      <x:c r="A5" s="106" t="str">
        <x:v>Rooms revenue</x:v>
      </x:c>
      <x:c r="B5" s="106" t="str">
        <x:v>Revenue</x:v>
      </x:c>
      <x:c r="C5" s="121" t="n">
        <x:f>'01_Inputs'!C34</x:f>
        <x:v>18000000</x:v>
      </x:c>
      <x:c r="D5" s="121" t="n">
        <x:f>'01_Inputs'!D34</x:f>
        <x:v>17640000</x:v>
      </x:c>
      <x:c r="E5" s="121" t="n">
        <x:f>D5-C5</x:f>
        <x:v>-360000</x:v>
      </x:c>
      <x:c r="F5" s="121" t="n">
        <x:f>IFERROR(E5/ABS(C5),0)</x:f>
        <x:v>-0.02</x:v>
      </x:c>
      <x:c r="G5" s="106" t="str">
        <x:v>Rooms PVM</x:v>
      </x:c>
      <x:c r="H5" s="106" t="str">
        <x:v>Rate pressure offsets higher occupancy</x:v>
      </x:c>
      <x:c r="I5" s="106"/>
      <x:c r="J5" s="106"/>
      <x:c r="K5" s="106"/>
      <x:c r="L5" s="106"/>
      <x:c r="M5" s="106"/>
      <x:c r="N5" s="106"/>
      <x:c r="O5" s="106"/>
      <x:c r="P5" s="106"/>
      <x:c r="Q5" s="106"/>
      <x:c r="R5" s="106"/>
      <x:c r="S5" s="106"/>
      <x:c r="T5" s="106"/>
      <x:c r="U5" s="106"/>
      <x:c r="V5" s="106"/>
      <x:c r="W5" s="106"/>
      <x:c r="X5" s="106"/>
      <x:c r="Y5" s="106"/>
      <x:c r="Z5" s="106"/>
    </x:row>
    <x:row r="6">
      <x:c r="A6" s="106" t="str">
        <x:v>F&amp;B revenue</x:v>
      </x:c>
      <x:c r="B6" s="106" t="str">
        <x:v>Revenue</x:v>
      </x:c>
      <x:c r="C6" s="121" t="n">
        <x:f>'01_Inputs'!C14</x:f>
        <x:v>8000000</x:v>
      </x:c>
      <x:c r="D6" s="121" t="n">
        <x:f>'01_Inputs'!D14</x:f>
        <x:v>8400000</x:v>
      </x:c>
      <x:c r="E6" s="121" t="n">
        <x:f>D6-C6</x:f>
        <x:v>400000</x:v>
      </x:c>
      <x:c r="F6" s="121" t="n">
        <x:f>IFERROR(E6/ABS(C6),0)</x:f>
        <x:v>0.05</x:v>
      </x:c>
      <x:c r="G6" s="106" t="str">
        <x:v>Volume / mix</x:v>
      </x:c>
      <x:c r="H6" s="106" t="str">
        <x:v>Above budget</x:v>
      </x:c>
      <x:c r="I6" s="106"/>
      <x:c r="J6" s="106"/>
      <x:c r="K6" s="106"/>
      <x:c r="L6" s="106"/>
      <x:c r="M6" s="106"/>
      <x:c r="N6" s="106"/>
      <x:c r="O6" s="106"/>
      <x:c r="P6" s="106"/>
      <x:c r="Q6" s="106"/>
      <x:c r="R6" s="106"/>
      <x:c r="S6" s="106"/>
      <x:c r="T6" s="106"/>
      <x:c r="U6" s="106"/>
      <x:c r="V6" s="106"/>
      <x:c r="W6" s="106"/>
      <x:c r="X6" s="106"/>
      <x:c r="Y6" s="106"/>
      <x:c r="Z6" s="106"/>
    </x:row>
    <x:row r="7">
      <x:c r="A7" s="106" t="str">
        <x:v>Other revenue</x:v>
      </x:c>
      <x:c r="B7" s="106" t="str">
        <x:v>Revenue</x:v>
      </x:c>
      <x:c r="C7" s="121" t="n">
        <x:f>'01_Inputs'!C15</x:f>
        <x:v>2000000</x:v>
      </x:c>
      <x:c r="D7" s="121" t="n">
        <x:f>'01_Inputs'!D15</x:f>
        <x:v>1900000</x:v>
      </x:c>
      <x:c r="E7" s="121" t="n">
        <x:f>D7-C7</x:f>
        <x:v>-100000</x:v>
      </x:c>
      <x:c r="F7" s="121" t="n">
        <x:f>IFERROR(E7/ABS(C7),0)</x:f>
        <x:v>-0.05</x:v>
      </x:c>
      <x:c r="G7" s="106" t="str">
        <x:v>Other departments</x:v>
      </x:c>
      <x:c r="H7" s="106" t="str">
        <x:v>Below budget</x:v>
      </x:c>
      <x:c r="I7" s="106"/>
      <x:c r="J7" s="106"/>
      <x:c r="K7" s="106"/>
      <x:c r="L7" s="106"/>
      <x:c r="M7" s="106"/>
      <x:c r="N7" s="106"/>
      <x:c r="O7" s="106"/>
      <x:c r="P7" s="106"/>
      <x:c r="Q7" s="106"/>
      <x:c r="R7" s="106"/>
      <x:c r="S7" s="106"/>
      <x:c r="T7" s="106"/>
      <x:c r="U7" s="106"/>
      <x:c r="V7" s="106"/>
      <x:c r="W7" s="106"/>
      <x:c r="X7" s="106"/>
      <x:c r="Y7" s="106"/>
      <x:c r="Z7" s="106"/>
    </x:row>
    <x:row r="8">
      <x:c r="A8" s="129" t="str">
        <x:v>Total revenue</x:v>
      </x:c>
      <x:c r="B8" s="129" t="str">
        <x:v>Total Revenue</x:v>
      </x:c>
      <x:c r="C8" s="130" t="n">
        <x:f>SUM(C5:C7)</x:f>
        <x:v>28000000</x:v>
      </x:c>
      <x:c r="D8" s="130" t="n">
        <x:f>SUM(D5:D7)</x:f>
        <x:v>27940000</x:v>
      </x:c>
      <x:c r="E8" s="130" t="n">
        <x:f>D8-C8</x:f>
        <x:v>-60000</x:v>
      </x:c>
      <x:c r="F8" s="130" t="n">
        <x:f>IFERROR(E8/ABS(C8),0)</x:f>
        <x:v>-0.002142857142857143</x:v>
      </x:c>
      <x:c r="G8" s="129" t="str"/>
      <x:c r="H8" s="129" t="str"/>
      <x:c r="I8" s="106"/>
      <x:c r="J8" s="106"/>
      <x:c r="K8" s="106"/>
      <x:c r="L8" s="106"/>
      <x:c r="M8" s="106"/>
      <x:c r="N8" s="106"/>
      <x:c r="O8" s="106"/>
      <x:c r="P8" s="106"/>
      <x:c r="Q8" s="106"/>
      <x:c r="R8" s="106"/>
      <x:c r="S8" s="106"/>
      <x:c r="T8" s="106"/>
      <x:c r="U8" s="106"/>
      <x:c r="V8" s="106"/>
      <x:c r="W8" s="106"/>
      <x:c r="X8" s="106"/>
      <x:c r="Y8" s="106"/>
      <x:c r="Z8" s="106"/>
    </x:row>
    <x:row r="9">
      <x:c r="A9" s="106" t="str">
        <x:v>Core labour</x:v>
      </x:c>
      <x:c r="B9" s="106" t="str">
        <x:v>Cost</x:v>
      </x:c>
      <x:c r="C9" s="121" t="n">
        <x:f>'01_Inputs'!C16*'01_Inputs'!C17</x:f>
        <x:v>6800000</x:v>
      </x:c>
      <x:c r="D9" s="121" t="n">
        <x:f>'01_Inputs'!D16*'01_Inputs'!D17</x:f>
        <x:v>7134000</x:v>
      </x:c>
      <x:c r="E9" s="121" t="n">
        <x:f>C9-D9</x:f>
        <x:v>-334000</x:v>
      </x:c>
      <x:c r="F9" s="121" t="n">
        <x:f>IFERROR(E9/ABS(C9),0)</x:f>
        <x:v>-0.04911764705882353</x:v>
      </x:c>
      <x:c r="G9" s="106" t="str">
        <x:v>Hours / rate</x:v>
      </x:c>
      <x:c r="H9" s="106" t="str">
        <x:v>Above budget</x:v>
      </x:c>
      <x:c r="I9" s="106"/>
      <x:c r="J9" s="106"/>
      <x:c r="K9" s="106"/>
      <x:c r="L9" s="106"/>
      <x:c r="M9" s="106"/>
      <x:c r="N9" s="106"/>
      <x:c r="O9" s="106"/>
      <x:c r="P9" s="106"/>
      <x:c r="Q9" s="106"/>
      <x:c r="R9" s="106"/>
      <x:c r="S9" s="106"/>
      <x:c r="T9" s="106"/>
      <x:c r="U9" s="106"/>
      <x:c r="V9" s="106"/>
      <x:c r="W9" s="106"/>
      <x:c r="X9" s="106"/>
      <x:c r="Y9" s="106"/>
      <x:c r="Z9" s="106"/>
    </x:row>
    <x:row r="10">
      <x:c r="A10" s="106" t="str">
        <x:v>Overtime premium</x:v>
      </x:c>
      <x:c r="B10" s="106" t="str">
        <x:v>Cost</x:v>
      </x:c>
      <x:c r="C10" s="121" t="n">
        <x:f>'01_Inputs'!C18*'01_Inputs'!C19</x:f>
        <x:v>40000</x:v>
      </x:c>
      <x:c r="D10" s="121" t="n">
        <x:f>'01_Inputs'!D18*'01_Inputs'!D19</x:f>
        <x:v>74800</x:v>
      </x:c>
      <x:c r="E10" s="121" t="n">
        <x:f>C10-D10</x:f>
        <x:v>-34800</x:v>
      </x:c>
      <x:c r="F10" s="121" t="n">
        <x:f>IFERROR(E10/ABS(C10),0)</x:f>
        <x:v>-0.87</x:v>
      </x:c>
      <x:c r="G10" s="106" t="str">
        <x:v>Hours / rate</x:v>
      </x:c>
      <x:c r="H10" s="106" t="str">
        <x:v>Above budget</x:v>
      </x:c>
      <x:c r="I10" s="106"/>
      <x:c r="J10" s="106"/>
      <x:c r="K10" s="106"/>
      <x:c r="L10" s="106"/>
      <x:c r="M10" s="106"/>
      <x:c r="N10" s="106"/>
      <x:c r="O10" s="106"/>
      <x:c r="P10" s="106"/>
      <x:c r="Q10" s="106"/>
      <x:c r="R10" s="106"/>
      <x:c r="S10" s="106"/>
      <x:c r="T10" s="106"/>
      <x:c r="U10" s="106"/>
      <x:c r="V10" s="106"/>
      <x:c r="W10" s="106"/>
      <x:c r="X10" s="106"/>
      <x:c r="Y10" s="106"/>
      <x:c r="Z10" s="106"/>
    </x:row>
    <x:row r="11">
      <x:c r="A11" s="106" t="str">
        <x:v>Agency labour</x:v>
      </x:c>
      <x:c r="B11" s="106" t="str">
        <x:v>Cost</x:v>
      </x:c>
      <x:c r="C11" s="121" t="n">
        <x:f>'01_Inputs'!C20*'01_Inputs'!C21</x:f>
        <x:v>500000</x:v>
      </x:c>
      <x:c r="D11" s="121" t="n">
        <x:f>'01_Inputs'!D20*'01_Inputs'!D21</x:f>
        <x:v>912000</x:v>
      </x:c>
      <x:c r="E11" s="121" t="n">
        <x:f>C11-D11</x:f>
        <x:v>-412000</x:v>
      </x:c>
      <x:c r="F11" s="121" t="n">
        <x:f>IFERROR(E11/ABS(C11),0)</x:f>
        <x:v>-0.824</x:v>
      </x:c>
      <x:c r="G11" s="106" t="str">
        <x:v>Hours / rate</x:v>
      </x:c>
      <x:c r="H11" s="106" t="str">
        <x:v>Largest controllable labour gap</x:v>
      </x:c>
      <x:c r="I11" s="106"/>
      <x:c r="J11" s="106"/>
      <x:c r="K11" s="106"/>
      <x:c r="L11" s="106"/>
      <x:c r="M11" s="106"/>
      <x:c r="N11" s="106"/>
      <x:c r="O11" s="106"/>
      <x:c r="P11" s="106"/>
      <x:c r="Q11" s="106"/>
      <x:c r="R11" s="106"/>
      <x:c r="S11" s="106"/>
      <x:c r="T11" s="106"/>
      <x:c r="U11" s="106"/>
      <x:c r="V11" s="106"/>
      <x:c r="W11" s="106"/>
      <x:c r="X11" s="106"/>
      <x:c r="Y11" s="106"/>
      <x:c r="Z11" s="106"/>
    </x:row>
    <x:row r="12">
      <x:c r="A12" s="106" t="str">
        <x:v>Other labour</x:v>
      </x:c>
      <x:c r="B12" s="106" t="str">
        <x:v>Cost</x:v>
      </x:c>
      <x:c r="C12" s="121" t="n">
        <x:f>'01_Inputs'!C22</x:f>
        <x:v>1060000</x:v>
      </x:c>
      <x:c r="D12" s="121" t="n">
        <x:f>'01_Inputs'!D22</x:f>
        <x:v>1119200</x:v>
      </x:c>
      <x:c r="E12" s="121" t="n">
        <x:f>C12-D12</x:f>
        <x:v>-59200</x:v>
      </x:c>
      <x:c r="F12" s="121" t="n">
        <x:f>IFERROR(E12/ABS(C12),0)</x:f>
        <x:v>-0.05584905660377359</x:v>
      </x:c>
      <x:c r="G12" s="106" t="str">
        <x:v>Payroll / benefits</x:v>
      </x:c>
      <x:c r="H12" s="106" t="str">
        <x:v>Above budget</x:v>
      </x:c>
      <x:c r="I12" s="106"/>
      <x:c r="J12" s="106"/>
      <x:c r="K12" s="106"/>
      <x:c r="L12" s="106"/>
      <x:c r="M12" s="106"/>
      <x:c r="N12" s="106"/>
      <x:c r="O12" s="106"/>
      <x:c r="P12" s="106"/>
      <x:c r="Q12" s="106"/>
      <x:c r="R12" s="106"/>
      <x:c r="S12" s="106"/>
      <x:c r="T12" s="106"/>
      <x:c r="U12" s="106"/>
      <x:c r="V12" s="106"/>
      <x:c r="W12" s="106"/>
      <x:c r="X12" s="106"/>
      <x:c r="Y12" s="106"/>
      <x:c r="Z12" s="106"/>
    </x:row>
    <x:row r="13">
      <x:c r="A13" s="129" t="str">
        <x:v>Total labour</x:v>
      </x:c>
      <x:c r="B13" s="129" t="str">
        <x:v>Total Cost</x:v>
      </x:c>
      <x:c r="C13" s="130" t="n">
        <x:f>SUM(C9:C12)</x:f>
        <x:v>8400000</x:v>
      </x:c>
      <x:c r="D13" s="130" t="n">
        <x:f>SUM(D9:D12)</x:f>
        <x:v>9240000</x:v>
      </x:c>
      <x:c r="E13" s="130" t="n">
        <x:f>C13-D13</x:f>
        <x:v>-840000</x:v>
      </x:c>
      <x:c r="F13" s="130" t="n">
        <x:f>IFERROR(E13/ABS(C13),0)</x:f>
        <x:v>-0.1</x:v>
      </x:c>
      <x:c r="G13" s="129" t="str">
        <x:v>Hours / rates</x:v>
      </x:c>
      <x:c r="H13" s="129" t="str">
        <x:v>Key cost driver</x:v>
      </x:c>
      <x:c r="I13" s="106"/>
      <x:c r="J13" s="106"/>
      <x:c r="K13" s="106"/>
      <x:c r="L13" s="106"/>
      <x:c r="M13" s="106"/>
      <x:c r="N13" s="106"/>
      <x:c r="O13" s="106"/>
      <x:c r="P13" s="106"/>
      <x:c r="Q13" s="106"/>
      <x:c r="R13" s="106"/>
      <x:c r="S13" s="106"/>
      <x:c r="T13" s="106"/>
      <x:c r="U13" s="106"/>
      <x:c r="V13" s="106"/>
      <x:c r="W13" s="106"/>
      <x:c r="X13" s="106"/>
      <x:c r="Y13" s="106"/>
      <x:c r="Z13" s="106"/>
    </x:row>
    <x:row r="14">
      <x:c r="A14" s="106" t="str">
        <x:v>F&amp;B cost</x:v>
      </x:c>
      <x:c r="B14" s="106" t="str">
        <x:v>Cost</x:v>
      </x:c>
      <x:c r="C14" s="121" t="n">
        <x:f>'01_Inputs'!C14*'01_Inputs'!C23</x:f>
        <x:v>2560000</x:v>
      </x:c>
      <x:c r="D14" s="121" t="n">
        <x:f>'01_Inputs'!D14*'01_Inputs'!D23</x:f>
        <x:v>2940000</x:v>
      </x:c>
      <x:c r="E14" s="121" t="n">
        <x:f>C14-D14</x:f>
        <x:v>-380000</x:v>
      </x:c>
      <x:c r="F14" s="121" t="n">
        <x:f>IFERROR(E14/ABS(C14),0)</x:f>
        <x:v>-0.1484375</x:v>
      </x:c>
      <x:c r="G14" s="106" t="str">
        <x:v>Cost %</x:v>
      </x:c>
      <x:c r="H14" s="106" t="str">
        <x:v>Cost ratio above budget</x:v>
      </x:c>
      <x:c r="I14" s="106"/>
      <x:c r="J14" s="106"/>
      <x:c r="K14" s="106"/>
      <x:c r="L14" s="106"/>
      <x:c r="M14" s="106"/>
      <x:c r="N14" s="106"/>
      <x:c r="O14" s="106"/>
      <x:c r="P14" s="106"/>
      <x:c r="Q14" s="106"/>
      <x:c r="R14" s="106"/>
      <x:c r="S14" s="106"/>
      <x:c r="T14" s="106"/>
      <x:c r="U14" s="106"/>
      <x:c r="V14" s="106"/>
      <x:c r="W14" s="106"/>
      <x:c r="X14" s="106"/>
      <x:c r="Y14" s="106"/>
      <x:c r="Z14" s="106"/>
    </x:row>
    <x:row r="15">
      <x:c r="A15" s="106" t="str">
        <x:v>Utilities</x:v>
      </x:c>
      <x:c r="B15" s="106" t="str">
        <x:v>Cost</x:v>
      </x:c>
      <x:c r="C15" s="121" t="n">
        <x:f>'01_Inputs'!C24</x:f>
        <x:v>1200000</x:v>
      </x:c>
      <x:c r="D15" s="121" t="n">
        <x:f>'01_Inputs'!D24</x:f>
        <x:v>1300000</x:v>
      </x:c>
      <x:c r="E15" s="121" t="n">
        <x:f>C15-D15</x:f>
        <x:v>-100000</x:v>
      </x:c>
      <x:c r="F15" s="121" t="n">
        <x:f>IFERROR(E15/ABS(C15),0)</x:f>
        <x:v>-0.08333333333333333</x:v>
      </x:c>
      <x:c r="G15" s="106" t="str">
        <x:v>Consumption / tariffs</x:v>
      </x:c>
      <x:c r="H15" s="106" t="str">
        <x:v>Above budget</x:v>
      </x:c>
      <x:c r="I15" s="106"/>
      <x:c r="J15" s="106"/>
      <x:c r="K15" s="106"/>
      <x:c r="L15" s="106"/>
      <x:c r="M15" s="106"/>
      <x:c r="N15" s="106"/>
      <x:c r="O15" s="106"/>
      <x:c r="P15" s="106"/>
      <x:c r="Q15" s="106"/>
      <x:c r="R15" s="106"/>
      <x:c r="S15" s="106"/>
      <x:c r="T15" s="106"/>
      <x:c r="U15" s="106"/>
      <x:c r="V15" s="106"/>
      <x:c r="W15" s="106"/>
      <x:c r="X15" s="106"/>
      <x:c r="Y15" s="106"/>
      <x:c r="Z15" s="106"/>
    </x:row>
    <x:row r="16">
      <x:c r="A16" s="106" t="str">
        <x:v>Other operating expense</x:v>
      </x:c>
      <x:c r="B16" s="106" t="str">
        <x:v>Cost</x:v>
      </x:c>
      <x:c r="C16" s="121" t="n">
        <x:f>'01_Inputs'!C25</x:f>
        <x:v>5040000</x:v>
      </x:c>
      <x:c r="D16" s="121" t="n">
        <x:f>'01_Inputs'!D25</x:f>
        <x:v>5160000</x:v>
      </x:c>
      <x:c r="E16" s="121" t="n">
        <x:f>C16-D16</x:f>
        <x:v>-120000</x:v>
      </x:c>
      <x:c r="F16" s="121" t="n">
        <x:f>IFERROR(E16/ABS(C16),0)</x:f>
        <x:v>-0.023809523809523808</x:v>
      </x:c>
      <x:c r="G16" s="106" t="str">
        <x:v>Multiple</x:v>
      </x:c>
      <x:c r="H16" s="106" t="str">
        <x:v>Above budget</x:v>
      </x:c>
      <x:c r="I16" s="106"/>
      <x:c r="J16" s="106"/>
      <x:c r="K16" s="106"/>
      <x:c r="L16" s="106"/>
      <x:c r="M16" s="106"/>
      <x:c r="N16" s="106"/>
      <x:c r="O16" s="106"/>
      <x:c r="P16" s="106"/>
      <x:c r="Q16" s="106"/>
      <x:c r="R16" s="106"/>
      <x:c r="S16" s="106"/>
      <x:c r="T16" s="106"/>
      <x:c r="U16" s="106"/>
      <x:c r="V16" s="106"/>
      <x:c r="W16" s="106"/>
      <x:c r="X16" s="106"/>
      <x:c r="Y16" s="106"/>
      <x:c r="Z16" s="106"/>
    </x:row>
    <x:row r="17">
      <x:c r="A17" s="129" t="str">
        <x:v>Total operating cost</x:v>
      </x:c>
      <x:c r="B17" s="129" t="str">
        <x:v>Total Cost</x:v>
      </x:c>
      <x:c r="C17" s="130" t="n">
        <x:f>SUM(C13:C16)</x:f>
        <x:v>17200000</x:v>
      </x:c>
      <x:c r="D17" s="130" t="n">
        <x:f>SUM(D13:D16)</x:f>
        <x:v>18640000</x:v>
      </x:c>
      <x:c r="E17" s="130" t="n">
        <x:f>C17-D17</x:f>
        <x:v>-1440000</x:v>
      </x:c>
      <x:c r="F17" s="130" t="n">
        <x:f>IFERROR(E17/ABS(C17),0)</x:f>
        <x:v>-0.08372093023255814</x:v>
      </x:c>
      <x:c r="G17" s="129" t="str"/>
      <x:c r="H17" s="129" t="str"/>
      <x:c r="I17" s="106"/>
      <x:c r="J17" s="106"/>
      <x:c r="K17" s="106"/>
      <x:c r="L17" s="106"/>
      <x:c r="M17" s="106"/>
      <x:c r="N17" s="106"/>
      <x:c r="O17" s="106"/>
      <x:c r="P17" s="106"/>
      <x:c r="Q17" s="106"/>
      <x:c r="R17" s="106"/>
      <x:c r="S17" s="106"/>
      <x:c r="T17" s="106"/>
      <x:c r="U17" s="106"/>
      <x:c r="V17" s="106"/>
      <x:c r="W17" s="106"/>
      <x:c r="X17" s="106"/>
      <x:c r="Y17" s="106"/>
      <x:c r="Z17" s="106"/>
    </x:row>
    <x:row r="18">
      <x:c r="A18" s="129" t="str">
        <x:v>GOP</x:v>
      </x:c>
      <x:c r="B18" s="129" t="str">
        <x:v>Profit</x:v>
      </x:c>
      <x:c r="C18" s="130" t="n">
        <x:f>C8-C17</x:f>
        <x:v>10800000</x:v>
      </x:c>
      <x:c r="D18" s="130" t="n">
        <x:f>D8-D17</x:f>
        <x:v>9300000</x:v>
      </x:c>
      <x:c r="E18" s="130" t="n">
        <x:f>D18-C18</x:f>
        <x:v>-1500000</x:v>
      </x:c>
      <x:c r="F18" s="130" t="n">
        <x:f>IFERROR(E18/ABS(C18),0)</x:f>
        <x:v>-0.1388888888888889</x:v>
      </x:c>
      <x:c r="G18" s="129" t="str"/>
      <x:c r="H18" s="129" t="str"/>
      <x:c r="I18" s="106"/>
      <x:c r="J18" s="106"/>
      <x:c r="K18" s="106"/>
      <x:c r="L18" s="106"/>
      <x:c r="M18" s="106"/>
      <x:c r="N18" s="106"/>
      <x:c r="O18" s="106"/>
      <x:c r="P18" s="106"/>
      <x:c r="Q18" s="106"/>
      <x:c r="R18" s="106"/>
      <x:c r="S18" s="106"/>
      <x:c r="T18" s="106"/>
      <x:c r="U18" s="106"/>
      <x:c r="V18" s="106"/>
      <x:c r="W18" s="106"/>
      <x:c r="X18" s="106"/>
      <x:c r="Y18" s="106"/>
      <x:c r="Z18" s="106"/>
    </x:row>
    <x:row r="19">
      <x:c r="A19" s="129" t="str">
        <x:v>GOP margin</x:v>
      </x:c>
      <x:c r="B19" s="129" t="str">
        <x:v>Margin</x:v>
      </x:c>
      <x:c r="C19" s="131" t="n">
        <x:f>C18/C8</x:f>
        <x:v>0.38571428571428573</x:v>
      </x:c>
      <x:c r="D19" s="131" t="n">
        <x:f>D18/D8</x:f>
        <x:v>0.33285612025769507</x:v>
      </x:c>
      <x:c r="E19" s="131" t="n">
        <x:f>D19-C19</x:f>
        <x:v>-0.05285816545659067</x:v>
      </x:c>
      <x:c r="F19" s="131" t="n">
        <x:f>IFERROR(E19/ABS(C19),0)</x:f>
        <x:v>-0.1370396882207906</x:v>
      </x:c>
      <x:c r="G19" s="129" t="str"/>
      <x:c r="H19" s="129" t="str"/>
      <x:c r="I19" s="106"/>
      <x:c r="J19" s="106"/>
      <x:c r="K19" s="106"/>
      <x:c r="L19" s="106"/>
      <x:c r="M19" s="106"/>
      <x:c r="N19" s="106"/>
      <x:c r="O19" s="106"/>
      <x:c r="P19" s="106"/>
      <x:c r="Q19" s="106"/>
      <x:c r="R19" s="106"/>
      <x:c r="S19" s="106"/>
      <x:c r="T19" s="106"/>
      <x:c r="U19" s="106"/>
      <x:c r="V19" s="106"/>
      <x:c r="W19" s="106"/>
      <x:c r="X19" s="106"/>
      <x:c r="Y19" s="106"/>
      <x:c r="Z19" s="106"/>
    </x:row>
    <x:row r="20">
      <x:c r="A20" s="129" t="str">
        <x:v>GOPPAR</x:v>
      </x:c>
      <x:c r="B20" s="129" t="str">
        <x:v>Profit</x:v>
      </x:c>
      <x:c r="C20" s="130" t="n">
        <x:f>C18/'01_Inputs'!C31</x:f>
        <x:v>1200</x:v>
      </x:c>
      <x:c r="D20" s="130" t="n">
        <x:f>D18/'01_Inputs'!D31</x:f>
        <x:v>1033.3333333333333</x:v>
      </x:c>
      <x:c r="E20" s="130" t="n">
        <x:f>D20-C20</x:f>
        <x:v>-166.66666666666674</x:v>
      </x:c>
      <x:c r="F20" s="130" t="n">
        <x:f>IFERROR(E20/ABS(C20),0)</x:f>
        <x:v>-0.13888888888888895</x:v>
      </x:c>
      <x:c r="G20" s="129" t="str"/>
      <x:c r="H20" s="129" t="str"/>
      <x:c r="I20" s="106"/>
      <x:c r="J20" s="106"/>
      <x:c r="K20" s="106"/>
      <x:c r="L20" s="106"/>
      <x:c r="M20" s="106"/>
      <x:c r="N20" s="106"/>
      <x:c r="O20" s="106"/>
      <x:c r="P20" s="106"/>
      <x:c r="Q20" s="106"/>
      <x:c r="R20" s="106"/>
      <x:c r="S20" s="106"/>
      <x:c r="T20" s="106"/>
      <x:c r="U20" s="106"/>
      <x:c r="V20" s="106"/>
      <x:c r="W20" s="106"/>
      <x:c r="X20" s="106"/>
      <x:c r="Y20" s="106"/>
      <x:c r="Z20" s="106"/>
    </x:row>
    <x:row r="21">
      <x:c r="A21" s="106"/>
      <x:c r="B21" s="106"/>
      <x:c r="C21" s="106"/>
      <x:c r="D21" s="106"/>
      <x:c r="E21" s="106"/>
      <x:c r="F21" s="106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106"/>
      <x:c r="Q21" s="106"/>
      <x:c r="R21" s="106"/>
      <x:c r="S21" s="106"/>
      <x:c r="T21" s="106"/>
      <x:c r="U21" s="106"/>
      <x:c r="V21" s="106"/>
      <x:c r="W21" s="106"/>
      <x:c r="X21" s="106"/>
      <x:c r="Y21" s="106"/>
      <x:c r="Z21" s="106"/>
    </x:row>
    <x:row r="22">
      <x:c r="A22" s="106"/>
      <x:c r="B22" s="106"/>
      <x:c r="C22" s="106"/>
      <x:c r="D22" s="106"/>
      <x:c r="E22" s="106"/>
      <x:c r="F22" s="106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106"/>
      <x:c r="Q22" s="106"/>
      <x:c r="R22" s="106"/>
      <x:c r="S22" s="106"/>
      <x:c r="T22" s="106"/>
      <x:c r="U22" s="106"/>
      <x:c r="V22" s="106"/>
      <x:c r="W22" s="106"/>
      <x:c r="X22" s="106"/>
      <x:c r="Y22" s="106"/>
      <x:c r="Z22" s="106"/>
    </x:row>
    <x:row r="23">
      <x:c r="A23" s="106"/>
      <x:c r="B23" s="106"/>
      <x:c r="C23" s="106"/>
      <x:c r="D23" s="106"/>
      <x:c r="E23" s="106"/>
      <x:c r="F23" s="106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106"/>
      <x:c r="Q23" s="106"/>
      <x:c r="R23" s="106"/>
      <x:c r="S23" s="106"/>
      <x:c r="T23" s="106"/>
      <x:c r="U23" s="106"/>
      <x:c r="V23" s="106"/>
      <x:c r="W23" s="106"/>
      <x:c r="X23" s="106"/>
      <x:c r="Y23" s="106"/>
      <x:c r="Z23" s="106"/>
    </x:row>
    <x:row r="24">
      <x:c r="A24" s="106"/>
      <x:c r="B24" s="106"/>
      <x:c r="C24" s="106"/>
      <x:c r="D24" s="106"/>
      <x:c r="E24" s="106"/>
      <x:c r="F24" s="106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106"/>
      <x:c r="Q24" s="106"/>
      <x:c r="R24" s="106"/>
      <x:c r="S24" s="106"/>
      <x:c r="T24" s="106"/>
      <x:c r="U24" s="106"/>
      <x:c r="V24" s="106"/>
      <x:c r="W24" s="106"/>
      <x:c r="X24" s="106"/>
      <x:c r="Y24" s="106"/>
      <x:c r="Z24" s="106"/>
    </x:row>
    <x:row r="25">
      <x:c r="A25" s="106"/>
      <x:c r="B25" s="106"/>
      <x:c r="C25" s="106"/>
      <x:c r="D25" s="106"/>
      <x:c r="E25" s="106"/>
      <x:c r="F25" s="106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106"/>
      <x:c r="Q25" s="106"/>
      <x:c r="R25" s="106"/>
      <x:c r="S25" s="106"/>
      <x:c r="T25" s="106"/>
      <x:c r="U25" s="106"/>
      <x:c r="V25" s="106"/>
      <x:c r="W25" s="106"/>
      <x:c r="X25" s="106"/>
      <x:c r="Y25" s="106"/>
      <x:c r="Z25" s="106"/>
    </x:row>
    <x:row r="26">
      <x:c r="A26" s="106"/>
      <x:c r="B26" s="106"/>
      <x:c r="C26" s="106"/>
      <x:c r="D26" s="106"/>
      <x:c r="E26" s="106"/>
      <x:c r="F26" s="106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106"/>
      <x:c r="Q26" s="106"/>
      <x:c r="R26" s="106"/>
      <x:c r="S26" s="106"/>
      <x:c r="T26" s="106"/>
      <x:c r="U26" s="106"/>
      <x:c r="V26" s="106"/>
      <x:c r="W26" s="106"/>
      <x:c r="X26" s="106"/>
      <x:c r="Y26" s="106"/>
      <x:c r="Z26" s="106"/>
    </x:row>
    <x:row r="27">
      <x:c r="A27" s="106"/>
      <x:c r="B27" s="106"/>
      <x:c r="C27" s="106"/>
      <x:c r="D27" s="106"/>
      <x:c r="E27" s="106"/>
      <x:c r="F27" s="106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106"/>
      <x:c r="Q27" s="106"/>
      <x:c r="R27" s="106"/>
      <x:c r="S27" s="106"/>
      <x:c r="T27" s="106"/>
      <x:c r="U27" s="106"/>
      <x:c r="V27" s="106"/>
      <x:c r="W27" s="106"/>
      <x:c r="X27" s="106"/>
      <x:c r="Y27" s="106"/>
      <x:c r="Z27" s="106"/>
    </x:row>
    <x:row r="28">
      <x:c r="A28" s="106"/>
      <x:c r="B28" s="106"/>
      <x:c r="C28" s="106"/>
      <x:c r="D28" s="106"/>
      <x:c r="E28" s="106"/>
      <x:c r="F28" s="106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106"/>
      <x:c r="Q28" s="106"/>
      <x:c r="R28" s="106"/>
      <x:c r="S28" s="106"/>
      <x:c r="T28" s="106"/>
      <x:c r="U28" s="106"/>
      <x:c r="V28" s="106"/>
      <x:c r="W28" s="106"/>
      <x:c r="X28" s="106"/>
      <x:c r="Y28" s="106"/>
      <x:c r="Z28" s="106"/>
    </x:row>
    <x:row r="29">
      <x:c r="A29" s="106"/>
      <x:c r="B29" s="106"/>
      <x:c r="C29" s="106"/>
      <x:c r="D29" s="106"/>
      <x:c r="E29" s="106"/>
      <x:c r="F29" s="106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106"/>
      <x:c r="Q29" s="106"/>
      <x:c r="R29" s="106"/>
      <x:c r="S29" s="106"/>
      <x:c r="T29" s="106"/>
      <x:c r="U29" s="106"/>
      <x:c r="V29" s="106"/>
      <x:c r="W29" s="106"/>
      <x:c r="X29" s="106"/>
      <x:c r="Y29" s="106"/>
      <x:c r="Z29" s="106"/>
    </x:row>
    <x:row r="30">
      <x:c r="A30" s="106"/>
      <x:c r="B30" s="106"/>
      <x:c r="C30" s="106"/>
      <x:c r="D30" s="106"/>
      <x:c r="E30" s="106"/>
      <x:c r="F30" s="106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106"/>
      <x:c r="Q30" s="106"/>
      <x:c r="R30" s="106"/>
      <x:c r="S30" s="106"/>
      <x:c r="T30" s="106"/>
      <x:c r="U30" s="106"/>
      <x:c r="V30" s="106"/>
      <x:c r="W30" s="106"/>
      <x:c r="X30" s="106"/>
      <x:c r="Y30" s="106"/>
      <x:c r="Z30" s="106"/>
    </x:row>
    <x:row r="31">
      <x:c r="A31" s="106"/>
      <x:c r="B31" s="106"/>
      <x:c r="C31" s="106"/>
      <x:c r="D31" s="106"/>
      <x:c r="E31" s="106"/>
      <x:c r="F31" s="106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106"/>
      <x:c r="Q31" s="106"/>
      <x:c r="R31" s="106"/>
      <x:c r="S31" s="106"/>
      <x:c r="T31" s="106"/>
      <x:c r="U31" s="106"/>
      <x:c r="V31" s="106"/>
      <x:c r="W31" s="106"/>
      <x:c r="X31" s="106"/>
      <x:c r="Y31" s="106"/>
      <x:c r="Z31" s="106"/>
    </x:row>
    <x:row r="32">
      <x:c r="A32" s="106"/>
      <x:c r="B32" s="106"/>
      <x:c r="C32" s="106"/>
      <x:c r="D32" s="106"/>
      <x:c r="E32" s="106"/>
      <x:c r="F32" s="106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106"/>
      <x:c r="Q32" s="106"/>
      <x:c r="R32" s="106"/>
      <x:c r="S32" s="106"/>
      <x:c r="T32" s="106"/>
      <x:c r="U32" s="106"/>
      <x:c r="V32" s="106"/>
      <x:c r="W32" s="106"/>
      <x:c r="X32" s="106"/>
      <x:c r="Y32" s="106"/>
      <x:c r="Z32" s="106"/>
    </x:row>
    <x:row r="33">
      <x:c r="A33" s="106"/>
      <x:c r="B33" s="106"/>
      <x:c r="C33" s="106"/>
      <x:c r="D33" s="106"/>
      <x:c r="E33" s="106"/>
      <x:c r="F33" s="106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106"/>
      <x:c r="Q33" s="106"/>
      <x:c r="R33" s="106"/>
      <x:c r="S33" s="106"/>
      <x:c r="T33" s="106"/>
      <x:c r="U33" s="106"/>
      <x:c r="V33" s="106"/>
      <x:c r="W33" s="106"/>
      <x:c r="X33" s="106"/>
      <x:c r="Y33" s="106"/>
      <x:c r="Z33" s="106"/>
    </x:row>
    <x:row r="34">
      <x:c r="A34" s="106"/>
      <x:c r="B34" s="106"/>
      <x:c r="C34" s="106"/>
      <x:c r="D34" s="106"/>
      <x:c r="E34" s="106"/>
      <x:c r="F34" s="106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106"/>
      <x:c r="Q34" s="106"/>
      <x:c r="R34" s="106"/>
      <x:c r="S34" s="106"/>
      <x:c r="T34" s="106"/>
      <x:c r="U34" s="106"/>
      <x:c r="V34" s="106"/>
      <x:c r="W34" s="106"/>
      <x:c r="X34" s="106"/>
      <x:c r="Y34" s="106"/>
      <x:c r="Z34" s="106"/>
    </x:row>
    <x:row r="35">
      <x:c r="A35" s="106"/>
      <x:c r="B35" s="106"/>
      <x:c r="C35" s="106"/>
      <x:c r="D35" s="106"/>
      <x:c r="E35" s="106"/>
      <x:c r="F35" s="106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106"/>
      <x:c r="Q35" s="106"/>
      <x:c r="R35" s="106"/>
      <x:c r="S35" s="106"/>
      <x:c r="T35" s="106"/>
      <x:c r="U35" s="106"/>
      <x:c r="V35" s="106"/>
      <x:c r="W35" s="106"/>
      <x:c r="X35" s="106"/>
      <x:c r="Y35" s="106"/>
      <x:c r="Z35" s="106"/>
    </x:row>
    <x:row r="36">
      <x:c r="A36" s="106"/>
      <x:c r="B36" s="106"/>
      <x:c r="C36" s="106"/>
      <x:c r="D36" s="106"/>
      <x:c r="E36" s="106"/>
      <x:c r="F36" s="106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106"/>
      <x:c r="Q36" s="106"/>
      <x:c r="R36" s="106"/>
      <x:c r="S36" s="106"/>
      <x:c r="T36" s="106"/>
      <x:c r="U36" s="106"/>
      <x:c r="V36" s="106"/>
      <x:c r="W36" s="106"/>
      <x:c r="X36" s="106"/>
      <x:c r="Y36" s="106"/>
      <x:c r="Z36" s="106"/>
    </x:row>
    <x:row r="37">
      <x:c r="A37" s="106"/>
      <x:c r="B37" s="106"/>
      <x:c r="C37" s="106"/>
      <x:c r="D37" s="106"/>
      <x:c r="E37" s="106"/>
      <x:c r="F37" s="106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106"/>
      <x:c r="Q37" s="106"/>
      <x:c r="R37" s="106"/>
      <x:c r="S37" s="106"/>
      <x:c r="T37" s="106"/>
      <x:c r="U37" s="106"/>
      <x:c r="V37" s="106"/>
      <x:c r="W37" s="106"/>
      <x:c r="X37" s="106"/>
      <x:c r="Y37" s="106"/>
      <x:c r="Z37" s="106"/>
    </x:row>
    <x:row r="38">
      <x:c r="A38" s="106"/>
      <x:c r="B38" s="106"/>
      <x:c r="C38" s="106"/>
      <x:c r="D38" s="106"/>
      <x:c r="E38" s="106"/>
      <x:c r="F38" s="106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106"/>
      <x:c r="Q38" s="106"/>
      <x:c r="R38" s="106"/>
      <x:c r="S38" s="106"/>
      <x:c r="T38" s="106"/>
      <x:c r="U38" s="106"/>
      <x:c r="V38" s="106"/>
      <x:c r="W38" s="106"/>
      <x:c r="X38" s="106"/>
      <x:c r="Y38" s="106"/>
      <x:c r="Z38" s="106"/>
    </x:row>
    <x:row r="39">
      <x:c r="A39" s="106"/>
      <x:c r="B39" s="106"/>
      <x:c r="C39" s="106"/>
      <x:c r="D39" s="106"/>
      <x:c r="E39" s="106"/>
      <x:c r="F39" s="106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106"/>
      <x:c r="Q39" s="106"/>
      <x:c r="R39" s="106"/>
      <x:c r="S39" s="106"/>
      <x:c r="T39" s="106"/>
      <x:c r="U39" s="106"/>
      <x:c r="V39" s="106"/>
      <x:c r="W39" s="106"/>
      <x:c r="X39" s="106"/>
      <x:c r="Y39" s="106"/>
      <x:c r="Z39" s="106"/>
    </x:row>
    <x:row r="40">
      <x:c r="A40" s="106"/>
      <x:c r="B40" s="106"/>
      <x:c r="C40" s="106"/>
      <x:c r="D40" s="106"/>
      <x:c r="E40" s="106"/>
      <x:c r="F40" s="106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106"/>
      <x:c r="Q40" s="106"/>
      <x:c r="R40" s="106"/>
      <x:c r="S40" s="106"/>
      <x:c r="T40" s="106"/>
      <x:c r="U40" s="106"/>
      <x:c r="V40" s="106"/>
      <x:c r="W40" s="106"/>
      <x:c r="X40" s="106"/>
      <x:c r="Y40" s="106"/>
      <x:c r="Z40" s="106"/>
    </x:row>
    <x:row r="41">
      <x:c r="A41" s="106"/>
      <x:c r="B41" s="106"/>
      <x:c r="C41" s="106"/>
      <x:c r="D41" s="106"/>
      <x:c r="E41" s="106"/>
      <x:c r="F41" s="106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106"/>
      <x:c r="Q41" s="106"/>
      <x:c r="R41" s="106"/>
      <x:c r="S41" s="106"/>
      <x:c r="T41" s="106"/>
      <x:c r="U41" s="106"/>
      <x:c r="V41" s="106"/>
      <x:c r="W41" s="106"/>
      <x:c r="X41" s="106"/>
      <x:c r="Y41" s="106"/>
      <x:c r="Z41" s="106"/>
    </x:row>
    <x:row r="42">
      <x:c r="A42" s="106"/>
      <x:c r="B42" s="106"/>
      <x:c r="C42" s="106"/>
      <x:c r="D42" s="106"/>
      <x:c r="E42" s="106"/>
      <x:c r="F42" s="106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106"/>
      <x:c r="Q42" s="106"/>
      <x:c r="R42" s="106"/>
      <x:c r="S42" s="106"/>
      <x:c r="T42" s="106"/>
      <x:c r="U42" s="106"/>
      <x:c r="V42" s="106"/>
      <x:c r="W42" s="106"/>
      <x:c r="X42" s="106"/>
      <x:c r="Y42" s="106"/>
      <x:c r="Z42" s="106"/>
    </x:row>
    <x:row r="43">
      <x:c r="A43" s="106"/>
      <x:c r="B43" s="106"/>
      <x:c r="C43" s="106"/>
      <x:c r="D43" s="106"/>
      <x:c r="E43" s="106"/>
      <x:c r="F43" s="106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106"/>
      <x:c r="Q43" s="106"/>
      <x:c r="R43" s="106"/>
      <x:c r="S43" s="106"/>
      <x:c r="T43" s="106"/>
      <x:c r="U43" s="106"/>
      <x:c r="V43" s="106"/>
      <x:c r="W43" s="106"/>
      <x:c r="X43" s="106"/>
      <x:c r="Y43" s="106"/>
      <x:c r="Z43" s="106"/>
    </x:row>
    <x:row r="44">
      <x:c r="A44" s="106"/>
      <x:c r="B44" s="106"/>
      <x:c r="C44" s="106"/>
      <x:c r="D44" s="106"/>
      <x:c r="E44" s="106"/>
      <x:c r="F44" s="106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106"/>
      <x:c r="Q44" s="106"/>
      <x:c r="R44" s="106"/>
      <x:c r="S44" s="106"/>
      <x:c r="T44" s="106"/>
      <x:c r="U44" s="106"/>
      <x:c r="V44" s="106"/>
      <x:c r="W44" s="106"/>
      <x:c r="X44" s="106"/>
      <x:c r="Y44" s="106"/>
      <x:c r="Z44" s="106"/>
    </x:row>
    <x:row r="45">
      <x:c r="A45" s="106"/>
      <x:c r="B45" s="106"/>
      <x:c r="C45" s="106"/>
      <x:c r="D45" s="106"/>
      <x:c r="E45" s="106"/>
      <x:c r="F45" s="106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106"/>
      <x:c r="Q45" s="106"/>
      <x:c r="R45" s="106"/>
      <x:c r="S45" s="106"/>
      <x:c r="T45" s="106"/>
      <x:c r="U45" s="106"/>
      <x:c r="V45" s="106"/>
      <x:c r="W45" s="106"/>
      <x:c r="X45" s="106"/>
      <x:c r="Y45" s="106"/>
      <x:c r="Z45" s="106"/>
    </x:row>
    <x:row r="46">
      <x:c r="A46" s="106"/>
      <x:c r="B46" s="106"/>
      <x:c r="C46" s="106"/>
      <x:c r="D46" s="106"/>
      <x:c r="E46" s="106"/>
      <x:c r="F46" s="106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106"/>
      <x:c r="Q46" s="106"/>
      <x:c r="R46" s="106"/>
      <x:c r="S46" s="106"/>
      <x:c r="T46" s="106"/>
      <x:c r="U46" s="106"/>
      <x:c r="V46" s="106"/>
      <x:c r="W46" s="106"/>
      <x:c r="X46" s="106"/>
      <x:c r="Y46" s="106"/>
      <x:c r="Z46" s="106"/>
    </x:row>
    <x:row r="47">
      <x:c r="A47" s="106"/>
      <x:c r="B47" s="106"/>
      <x:c r="C47" s="106"/>
      <x:c r="D47" s="106"/>
      <x:c r="E47" s="106"/>
      <x:c r="F47" s="106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106"/>
      <x:c r="Q47" s="106"/>
      <x:c r="R47" s="106"/>
      <x:c r="S47" s="106"/>
      <x:c r="T47" s="106"/>
      <x:c r="U47" s="106"/>
      <x:c r="V47" s="106"/>
      <x:c r="W47" s="106"/>
      <x:c r="X47" s="106"/>
      <x:c r="Y47" s="106"/>
      <x:c r="Z47" s="106"/>
    </x:row>
    <x:row r="48">
      <x:c r="A48" s="106"/>
      <x:c r="B48" s="106"/>
      <x:c r="C48" s="106"/>
      <x:c r="D48" s="106"/>
      <x:c r="E48" s="106"/>
      <x:c r="F48" s="106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106"/>
      <x:c r="Q48" s="106"/>
      <x:c r="R48" s="106"/>
      <x:c r="S48" s="106"/>
      <x:c r="T48" s="106"/>
      <x:c r="U48" s="106"/>
      <x:c r="V48" s="106"/>
      <x:c r="W48" s="106"/>
      <x:c r="X48" s="106"/>
      <x:c r="Y48" s="106"/>
      <x:c r="Z48" s="106"/>
    </x:row>
    <x:row r="49">
      <x:c r="A49" s="106"/>
      <x:c r="B49" s="106"/>
      <x:c r="C49" s="106"/>
      <x:c r="D49" s="106"/>
      <x:c r="E49" s="106"/>
      <x:c r="F49" s="106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106"/>
      <x:c r="Q49" s="106"/>
      <x:c r="R49" s="106"/>
      <x:c r="S49" s="106"/>
      <x:c r="T49" s="106"/>
      <x:c r="U49" s="106"/>
      <x:c r="V49" s="106"/>
      <x:c r="W49" s="106"/>
      <x:c r="X49" s="106"/>
      <x:c r="Y49" s="106"/>
      <x:c r="Z49" s="106"/>
    </x:row>
    <x:row r="50">
      <x:c r="A50" s="106"/>
      <x:c r="B50" s="106"/>
      <x:c r="C50" s="106"/>
      <x:c r="D50" s="106"/>
      <x:c r="E50" s="106"/>
      <x:c r="F50" s="106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106"/>
      <x:c r="Q50" s="106"/>
      <x:c r="R50" s="106"/>
      <x:c r="S50" s="106"/>
      <x:c r="T50" s="106"/>
      <x:c r="U50" s="106"/>
      <x:c r="V50" s="106"/>
      <x:c r="W50" s="106"/>
      <x:c r="X50" s="106"/>
      <x:c r="Y50" s="106"/>
      <x:c r="Z50" s="106"/>
    </x:row>
    <x:row r="51">
      <x:c r="A51" s="106"/>
      <x:c r="B51" s="106"/>
      <x:c r="C51" s="106"/>
      <x:c r="D51" s="106"/>
      <x:c r="E51" s="106"/>
      <x:c r="F51" s="106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106"/>
      <x:c r="Q51" s="106"/>
      <x:c r="R51" s="106"/>
      <x:c r="S51" s="106"/>
      <x:c r="T51" s="106"/>
      <x:c r="U51" s="106"/>
      <x:c r="V51" s="106"/>
      <x:c r="W51" s="106"/>
      <x:c r="X51" s="106"/>
      <x:c r="Y51" s="106"/>
      <x:c r="Z51" s="106"/>
    </x:row>
    <x:row r="52">
      <x:c r="A52" s="106"/>
      <x:c r="B52" s="106"/>
      <x:c r="C52" s="106"/>
      <x:c r="D52" s="106"/>
      <x:c r="E52" s="106"/>
      <x:c r="F52" s="106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106"/>
      <x:c r="Q52" s="106"/>
      <x:c r="R52" s="106"/>
      <x:c r="S52" s="106"/>
      <x:c r="T52" s="106"/>
      <x:c r="U52" s="106"/>
      <x:c r="V52" s="106"/>
      <x:c r="W52" s="106"/>
      <x:c r="X52" s="106"/>
      <x:c r="Y52" s="106"/>
      <x:c r="Z52" s="106"/>
    </x:row>
    <x:row r="53">
      <x:c r="A53" s="106"/>
      <x:c r="B53" s="106"/>
      <x:c r="C53" s="106"/>
      <x:c r="D53" s="106"/>
      <x:c r="E53" s="106"/>
      <x:c r="F53" s="106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106"/>
      <x:c r="Q53" s="106"/>
      <x:c r="R53" s="106"/>
      <x:c r="S53" s="106"/>
      <x:c r="T53" s="106"/>
      <x:c r="U53" s="106"/>
      <x:c r="V53" s="106"/>
      <x:c r="W53" s="106"/>
      <x:c r="X53" s="106"/>
      <x:c r="Y53" s="106"/>
      <x:c r="Z53" s="106"/>
    </x:row>
    <x:row r="54">
      <x:c r="A54" s="106"/>
      <x:c r="B54" s="106"/>
      <x:c r="C54" s="106"/>
      <x:c r="D54" s="106"/>
      <x:c r="E54" s="106"/>
      <x:c r="F54" s="106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106"/>
      <x:c r="Q54" s="106"/>
      <x:c r="R54" s="106"/>
      <x:c r="S54" s="106"/>
      <x:c r="T54" s="106"/>
      <x:c r="U54" s="106"/>
      <x:c r="V54" s="106"/>
      <x:c r="W54" s="106"/>
      <x:c r="X54" s="106"/>
      <x:c r="Y54" s="106"/>
      <x:c r="Z54" s="106"/>
    </x:row>
    <x:row r="55">
      <x:c r="A55" s="106"/>
      <x:c r="B55" s="106"/>
      <x:c r="C55" s="106"/>
      <x:c r="D55" s="106"/>
      <x:c r="E55" s="106"/>
      <x:c r="F55" s="106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106"/>
      <x:c r="Q55" s="106"/>
      <x:c r="R55" s="106"/>
      <x:c r="S55" s="106"/>
      <x:c r="T55" s="106"/>
      <x:c r="U55" s="106"/>
      <x:c r="V55" s="106"/>
      <x:c r="W55" s="106"/>
      <x:c r="X55" s="106"/>
      <x:c r="Y55" s="106"/>
      <x:c r="Z55" s="106"/>
    </x:row>
    <x:row r="56">
      <x:c r="A56" s="106"/>
      <x:c r="B56" s="106"/>
      <x:c r="C56" s="106"/>
      <x:c r="D56" s="106"/>
      <x:c r="E56" s="106"/>
      <x:c r="F56" s="106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106"/>
      <x:c r="Q56" s="106"/>
      <x:c r="R56" s="106"/>
      <x:c r="S56" s="106"/>
      <x:c r="T56" s="106"/>
      <x:c r="U56" s="106"/>
      <x:c r="V56" s="106"/>
      <x:c r="W56" s="106"/>
      <x:c r="X56" s="106"/>
      <x:c r="Y56" s="106"/>
      <x:c r="Z56" s="106"/>
    </x:row>
    <x:row r="57">
      <x:c r="A57" s="106"/>
      <x:c r="B57" s="106"/>
      <x:c r="C57" s="106"/>
      <x:c r="D57" s="106"/>
      <x:c r="E57" s="106"/>
      <x:c r="F57" s="106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106"/>
      <x:c r="Q57" s="106"/>
      <x:c r="R57" s="106"/>
      <x:c r="S57" s="106"/>
      <x:c r="T57" s="106"/>
      <x:c r="U57" s="106"/>
      <x:c r="V57" s="106"/>
      <x:c r="W57" s="106"/>
      <x:c r="X57" s="106"/>
      <x:c r="Y57" s="106"/>
      <x:c r="Z57" s="106"/>
    </x:row>
    <x:row r="58">
      <x:c r="A58" s="106"/>
      <x:c r="B58" s="106"/>
      <x:c r="C58" s="106"/>
      <x:c r="D58" s="106"/>
      <x:c r="E58" s="106"/>
      <x:c r="F58" s="106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106"/>
      <x:c r="Q58" s="106"/>
      <x:c r="R58" s="106"/>
      <x:c r="S58" s="106"/>
      <x:c r="T58" s="106"/>
      <x:c r="U58" s="106"/>
      <x:c r="V58" s="106"/>
      <x:c r="W58" s="106"/>
      <x:c r="X58" s="106"/>
      <x:c r="Y58" s="106"/>
      <x:c r="Z58" s="106"/>
    </x:row>
    <x:row r="59">
      <x:c r="A59" s="106"/>
      <x:c r="B59" s="106"/>
      <x:c r="C59" s="106"/>
      <x:c r="D59" s="106"/>
      <x:c r="E59" s="106"/>
      <x:c r="F59" s="106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106"/>
      <x:c r="Q59" s="106"/>
      <x:c r="R59" s="106"/>
      <x:c r="S59" s="106"/>
      <x:c r="T59" s="106"/>
      <x:c r="U59" s="106"/>
      <x:c r="V59" s="106"/>
      <x:c r="W59" s="106"/>
      <x:c r="X59" s="106"/>
      <x:c r="Y59" s="106"/>
      <x:c r="Z59" s="106"/>
    </x:row>
    <x:row r="60">
      <x:c r="A60" s="106"/>
      <x:c r="B60" s="106"/>
      <x:c r="C60" s="106"/>
      <x:c r="D60" s="106"/>
      <x:c r="E60" s="106"/>
      <x:c r="F60" s="106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106"/>
      <x:c r="Q60" s="106"/>
      <x:c r="R60" s="106"/>
      <x:c r="S60" s="106"/>
      <x:c r="T60" s="106"/>
      <x:c r="U60" s="106"/>
      <x:c r="V60" s="106"/>
      <x:c r="W60" s="106"/>
      <x:c r="X60" s="106"/>
      <x:c r="Y60" s="106"/>
      <x:c r="Z60" s="106"/>
    </x:row>
    <x:row r="61">
      <x:c r="A61" s="106"/>
      <x:c r="B61" s="106"/>
      <x:c r="C61" s="106"/>
      <x:c r="D61" s="106"/>
      <x:c r="E61" s="106"/>
      <x:c r="F61" s="106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106"/>
      <x:c r="Q61" s="106"/>
      <x:c r="R61" s="106"/>
      <x:c r="S61" s="106"/>
      <x:c r="T61" s="106"/>
      <x:c r="U61" s="106"/>
      <x:c r="V61" s="106"/>
      <x:c r="W61" s="106"/>
      <x:c r="X61" s="106"/>
      <x:c r="Y61" s="106"/>
      <x:c r="Z61" s="106"/>
    </x:row>
    <x:row r="62">
      <x:c r="A62" s="106"/>
      <x:c r="B62" s="106"/>
      <x:c r="C62" s="106"/>
      <x:c r="D62" s="106"/>
      <x:c r="E62" s="106"/>
      <x:c r="F62" s="106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106"/>
      <x:c r="Q62" s="106"/>
      <x:c r="R62" s="106"/>
      <x:c r="S62" s="106"/>
      <x:c r="T62" s="106"/>
      <x:c r="U62" s="106"/>
      <x:c r="V62" s="106"/>
      <x:c r="W62" s="106"/>
      <x:c r="X62" s="106"/>
      <x:c r="Y62" s="106"/>
      <x:c r="Z62" s="106"/>
    </x:row>
    <x:row r="63">
      <x:c r="A63" s="106"/>
      <x:c r="B63" s="106"/>
      <x:c r="C63" s="106"/>
      <x:c r="D63" s="106"/>
      <x:c r="E63" s="106"/>
      <x:c r="F63" s="106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106"/>
      <x:c r="Q63" s="106"/>
      <x:c r="R63" s="106"/>
      <x:c r="S63" s="106"/>
      <x:c r="T63" s="106"/>
      <x:c r="U63" s="106"/>
      <x:c r="V63" s="106"/>
      <x:c r="W63" s="106"/>
      <x:c r="X63" s="106"/>
      <x:c r="Y63" s="106"/>
      <x:c r="Z63" s="106"/>
    </x:row>
    <x:row r="64">
      <x:c r="A64" s="106"/>
      <x:c r="B64" s="106"/>
      <x:c r="C64" s="106"/>
      <x:c r="D64" s="106"/>
      <x:c r="E64" s="106"/>
      <x:c r="F64" s="106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106"/>
      <x:c r="Q64" s="106"/>
      <x:c r="R64" s="106"/>
      <x:c r="S64" s="106"/>
      <x:c r="T64" s="106"/>
      <x:c r="U64" s="106"/>
      <x:c r="V64" s="106"/>
      <x:c r="W64" s="106"/>
      <x:c r="X64" s="106"/>
      <x:c r="Y64" s="106"/>
      <x:c r="Z64" s="106"/>
    </x:row>
    <x:row r="65">
      <x:c r="A65" s="106"/>
      <x:c r="B65" s="106"/>
      <x:c r="C65" s="106"/>
      <x:c r="D65" s="106"/>
      <x:c r="E65" s="106"/>
      <x:c r="F65" s="106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106"/>
      <x:c r="Q65" s="106"/>
      <x:c r="R65" s="106"/>
      <x:c r="S65" s="106"/>
      <x:c r="T65" s="106"/>
      <x:c r="U65" s="106"/>
      <x:c r="V65" s="106"/>
      <x:c r="W65" s="106"/>
      <x:c r="X65" s="106"/>
      <x:c r="Y65" s="106"/>
      <x:c r="Z65" s="106"/>
    </x:row>
    <x:row r="66">
      <x:c r="A66" s="106"/>
      <x:c r="B66" s="106"/>
      <x:c r="C66" s="106"/>
      <x:c r="D66" s="106"/>
      <x:c r="E66" s="106"/>
      <x:c r="F66" s="106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106"/>
      <x:c r="Q66" s="106"/>
      <x:c r="R66" s="106"/>
      <x:c r="S66" s="106"/>
      <x:c r="T66" s="106"/>
      <x:c r="U66" s="106"/>
      <x:c r="V66" s="106"/>
      <x:c r="W66" s="106"/>
      <x:c r="X66" s="106"/>
      <x:c r="Y66" s="106"/>
      <x:c r="Z66" s="106"/>
    </x:row>
    <x:row r="67">
      <x:c r="A67" s="106"/>
      <x:c r="B67" s="106"/>
      <x:c r="C67" s="106"/>
      <x:c r="D67" s="106"/>
      <x:c r="E67" s="106"/>
      <x:c r="F67" s="106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106"/>
      <x:c r="Q67" s="106"/>
      <x:c r="R67" s="106"/>
      <x:c r="S67" s="106"/>
      <x:c r="T67" s="106"/>
      <x:c r="U67" s="106"/>
      <x:c r="V67" s="106"/>
      <x:c r="W67" s="106"/>
      <x:c r="X67" s="106"/>
      <x:c r="Y67" s="106"/>
      <x:c r="Z67" s="106"/>
    </x:row>
    <x:row r="68">
      <x:c r="A68" s="106"/>
      <x:c r="B68" s="106"/>
      <x:c r="C68" s="106"/>
      <x:c r="D68" s="106"/>
      <x:c r="E68" s="106"/>
      <x:c r="F68" s="106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106"/>
      <x:c r="Q68" s="106"/>
      <x:c r="R68" s="106"/>
      <x:c r="S68" s="106"/>
      <x:c r="T68" s="106"/>
      <x:c r="U68" s="106"/>
      <x:c r="V68" s="106"/>
      <x:c r="W68" s="106"/>
      <x:c r="X68" s="106"/>
      <x:c r="Y68" s="106"/>
      <x:c r="Z68" s="106"/>
    </x:row>
    <x:row r="69">
      <x:c r="A69" s="106"/>
      <x:c r="B69" s="106"/>
      <x:c r="C69" s="106"/>
      <x:c r="D69" s="106"/>
      <x:c r="E69" s="106"/>
      <x:c r="F69" s="106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106"/>
      <x:c r="Q69" s="106"/>
      <x:c r="R69" s="106"/>
      <x:c r="S69" s="106"/>
      <x:c r="T69" s="106"/>
      <x:c r="U69" s="106"/>
      <x:c r="V69" s="106"/>
      <x:c r="W69" s="106"/>
      <x:c r="X69" s="106"/>
      <x:c r="Y69" s="106"/>
      <x:c r="Z69" s="106"/>
    </x:row>
    <x:row r="70">
      <x:c r="A70" s="106"/>
      <x:c r="B70" s="106"/>
      <x:c r="C70" s="106"/>
      <x:c r="D70" s="106"/>
      <x:c r="E70" s="106"/>
      <x:c r="F70" s="106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106"/>
      <x:c r="Q70" s="106"/>
      <x:c r="R70" s="106"/>
      <x:c r="S70" s="106"/>
      <x:c r="T70" s="106"/>
      <x:c r="U70" s="106"/>
      <x:c r="V70" s="106"/>
      <x:c r="W70" s="106"/>
      <x:c r="X70" s="106"/>
      <x:c r="Y70" s="106"/>
      <x:c r="Z70" s="106"/>
    </x:row>
    <x:row r="71">
      <x:c r="A71" s="106"/>
      <x:c r="B71" s="106"/>
      <x:c r="C71" s="106"/>
      <x:c r="D71" s="106"/>
      <x:c r="E71" s="106"/>
      <x:c r="F71" s="106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106"/>
      <x:c r="Q71" s="106"/>
      <x:c r="R71" s="106"/>
      <x:c r="S71" s="106"/>
      <x:c r="T71" s="106"/>
      <x:c r="U71" s="106"/>
      <x:c r="V71" s="106"/>
      <x:c r="W71" s="106"/>
      <x:c r="X71" s="106"/>
      <x:c r="Y71" s="106"/>
      <x:c r="Z71" s="106"/>
    </x:row>
    <x:row r="72">
      <x:c r="A72" s="106"/>
      <x:c r="B72" s="106"/>
      <x:c r="C72" s="106"/>
      <x:c r="D72" s="106"/>
      <x:c r="E72" s="106"/>
      <x:c r="F72" s="106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106"/>
      <x:c r="Q72" s="106"/>
      <x:c r="R72" s="106"/>
      <x:c r="S72" s="106"/>
      <x:c r="T72" s="106"/>
      <x:c r="U72" s="106"/>
      <x:c r="V72" s="106"/>
      <x:c r="W72" s="106"/>
      <x:c r="X72" s="106"/>
      <x:c r="Y72" s="106"/>
      <x:c r="Z72" s="106"/>
    </x:row>
    <x:row r="73">
      <x:c r="A73" s="106"/>
      <x:c r="B73" s="106"/>
      <x:c r="C73" s="106"/>
      <x:c r="D73" s="106"/>
      <x:c r="E73" s="106"/>
      <x:c r="F73" s="106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106"/>
      <x:c r="Q73" s="106"/>
      <x:c r="R73" s="106"/>
      <x:c r="S73" s="106"/>
      <x:c r="T73" s="106"/>
      <x:c r="U73" s="106"/>
      <x:c r="V73" s="106"/>
      <x:c r="W73" s="106"/>
      <x:c r="X73" s="106"/>
      <x:c r="Y73" s="106"/>
      <x:c r="Z73" s="106"/>
    </x:row>
    <x:row r="74">
      <x:c r="A74" s="106"/>
      <x:c r="B74" s="106"/>
      <x:c r="C74" s="106"/>
      <x:c r="D74" s="106"/>
      <x:c r="E74" s="106"/>
      <x:c r="F74" s="106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106"/>
      <x:c r="Q74" s="106"/>
      <x:c r="R74" s="106"/>
      <x:c r="S74" s="106"/>
      <x:c r="T74" s="106"/>
      <x:c r="U74" s="106"/>
      <x:c r="V74" s="106"/>
      <x:c r="W74" s="106"/>
      <x:c r="X74" s="106"/>
      <x:c r="Y74" s="106"/>
      <x:c r="Z74" s="106"/>
    </x:row>
    <x:row r="75">
      <x:c r="A75" s="106"/>
      <x:c r="B75" s="106"/>
      <x:c r="C75" s="106"/>
      <x:c r="D75" s="106"/>
      <x:c r="E75" s="106"/>
      <x:c r="F75" s="106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106"/>
      <x:c r="Q75" s="106"/>
      <x:c r="R75" s="106"/>
      <x:c r="S75" s="106"/>
      <x:c r="T75" s="106"/>
      <x:c r="U75" s="106"/>
      <x:c r="V75" s="106"/>
      <x:c r="W75" s="106"/>
      <x:c r="X75" s="106"/>
      <x:c r="Y75" s="106"/>
      <x:c r="Z75" s="106"/>
    </x:row>
    <x:row r="76">
      <x:c r="A76" s="106"/>
      <x:c r="B76" s="106"/>
      <x:c r="C76" s="106"/>
      <x:c r="D76" s="106"/>
      <x:c r="E76" s="106"/>
      <x:c r="F76" s="106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106"/>
      <x:c r="Q76" s="106"/>
      <x:c r="R76" s="106"/>
      <x:c r="S76" s="106"/>
      <x:c r="T76" s="106"/>
      <x:c r="U76" s="106"/>
      <x:c r="V76" s="106"/>
      <x:c r="W76" s="106"/>
      <x:c r="X76" s="106"/>
      <x:c r="Y76" s="106"/>
      <x:c r="Z76" s="106"/>
    </x:row>
    <x:row r="77">
      <x:c r="A77" s="106"/>
      <x:c r="B77" s="106"/>
      <x:c r="C77" s="106"/>
      <x:c r="D77" s="106"/>
      <x:c r="E77" s="106"/>
      <x:c r="F77" s="106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106"/>
      <x:c r="Q77" s="106"/>
      <x:c r="R77" s="106"/>
      <x:c r="S77" s="106"/>
      <x:c r="T77" s="106"/>
      <x:c r="U77" s="106"/>
      <x:c r="V77" s="106"/>
      <x:c r="W77" s="106"/>
      <x:c r="X77" s="106"/>
      <x:c r="Y77" s="106"/>
      <x:c r="Z77" s="106"/>
    </x:row>
    <x:row r="78">
      <x:c r="A78" s="106"/>
      <x:c r="B78" s="106"/>
      <x:c r="C78" s="106"/>
      <x:c r="D78" s="106"/>
      <x:c r="E78" s="106"/>
      <x:c r="F78" s="106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106"/>
      <x:c r="Q78" s="106"/>
      <x:c r="R78" s="106"/>
      <x:c r="S78" s="106"/>
      <x:c r="T78" s="106"/>
      <x:c r="U78" s="106"/>
      <x:c r="V78" s="106"/>
      <x:c r="W78" s="106"/>
      <x:c r="X78" s="106"/>
      <x:c r="Y78" s="106"/>
      <x:c r="Z78" s="106"/>
    </x:row>
    <x:row r="79">
      <x:c r="A79" s="106"/>
      <x:c r="B79" s="106"/>
      <x:c r="C79" s="106"/>
      <x:c r="D79" s="106"/>
      <x:c r="E79" s="106"/>
      <x:c r="F79" s="106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106"/>
      <x:c r="Q79" s="106"/>
      <x:c r="R79" s="106"/>
      <x:c r="S79" s="106"/>
      <x:c r="T79" s="106"/>
      <x:c r="U79" s="106"/>
      <x:c r="V79" s="106"/>
      <x:c r="W79" s="106"/>
      <x:c r="X79" s="106"/>
      <x:c r="Y79" s="106"/>
      <x:c r="Z79" s="106"/>
    </x:row>
    <x:row r="80">
      <x:c r="A80" s="106"/>
      <x:c r="B80" s="106"/>
      <x:c r="C80" s="106"/>
      <x:c r="D80" s="106"/>
      <x:c r="E80" s="106"/>
      <x:c r="F80" s="106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106"/>
      <x:c r="Q80" s="106"/>
      <x:c r="R80" s="106"/>
      <x:c r="S80" s="106"/>
      <x:c r="T80" s="106"/>
      <x:c r="U80" s="106"/>
      <x:c r="V80" s="106"/>
      <x:c r="W80" s="106"/>
      <x:c r="X80" s="106"/>
      <x:c r="Y80" s="106"/>
      <x:c r="Z80" s="106"/>
    </x:row>
    <x:row r="81">
      <x:c r="A81" s="106"/>
      <x:c r="B81" s="106"/>
      <x:c r="C81" s="106"/>
      <x:c r="D81" s="106"/>
      <x:c r="E81" s="106"/>
      <x:c r="F81" s="106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106"/>
      <x:c r="Q81" s="106"/>
      <x:c r="R81" s="106"/>
      <x:c r="S81" s="106"/>
      <x:c r="T81" s="106"/>
      <x:c r="U81" s="106"/>
      <x:c r="V81" s="106"/>
      <x:c r="W81" s="106"/>
      <x:c r="X81" s="106"/>
      <x:c r="Y81" s="106"/>
      <x:c r="Z81" s="106"/>
    </x:row>
    <x:row r="82">
      <x:c r="A82" s="106"/>
      <x:c r="B82" s="106"/>
      <x:c r="C82" s="106"/>
      <x:c r="D82" s="106"/>
      <x:c r="E82" s="106"/>
      <x:c r="F82" s="106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106"/>
      <x:c r="Q82" s="106"/>
      <x:c r="R82" s="106"/>
      <x:c r="S82" s="106"/>
      <x:c r="T82" s="106"/>
      <x:c r="U82" s="106"/>
      <x:c r="V82" s="106"/>
      <x:c r="W82" s="106"/>
      <x:c r="X82" s="106"/>
      <x:c r="Y82" s="106"/>
      <x:c r="Z82" s="106"/>
    </x:row>
    <x:row r="83">
      <x:c r="A83" s="106"/>
      <x:c r="B83" s="106"/>
      <x:c r="C83" s="106"/>
      <x:c r="D83" s="106"/>
      <x:c r="E83" s="106"/>
      <x:c r="F83" s="106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106"/>
      <x:c r="Q83" s="106"/>
      <x:c r="R83" s="106"/>
      <x:c r="S83" s="106"/>
      <x:c r="T83" s="106"/>
      <x:c r="U83" s="106"/>
      <x:c r="V83" s="106"/>
      <x:c r="W83" s="106"/>
      <x:c r="X83" s="106"/>
      <x:c r="Y83" s="106"/>
      <x:c r="Z83" s="106"/>
    </x:row>
    <x:row r="84">
      <x:c r="A84" s="106"/>
      <x:c r="B84" s="106"/>
      <x:c r="C84" s="106"/>
      <x:c r="D84" s="106"/>
      <x:c r="E84" s="106"/>
      <x:c r="F84" s="106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106"/>
      <x:c r="Q84" s="106"/>
      <x:c r="R84" s="106"/>
      <x:c r="S84" s="106"/>
      <x:c r="T84" s="106"/>
      <x:c r="U84" s="106"/>
      <x:c r="V84" s="106"/>
      <x:c r="W84" s="106"/>
      <x:c r="X84" s="106"/>
      <x:c r="Y84" s="106"/>
      <x:c r="Z84" s="106"/>
    </x:row>
    <x:row r="85">
      <x:c r="A85" s="106"/>
      <x:c r="B85" s="106"/>
      <x:c r="C85" s="106"/>
      <x:c r="D85" s="106"/>
      <x:c r="E85" s="106"/>
      <x:c r="F85" s="106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106"/>
      <x:c r="Q85" s="106"/>
      <x:c r="R85" s="106"/>
      <x:c r="S85" s="106"/>
      <x:c r="T85" s="106"/>
      <x:c r="U85" s="106"/>
      <x:c r="V85" s="106"/>
      <x:c r="W85" s="106"/>
      <x:c r="X85" s="106"/>
      <x:c r="Y85" s="106"/>
      <x:c r="Z85" s="106"/>
    </x:row>
    <x:row r="86">
      <x:c r="A86" s="106"/>
      <x:c r="B86" s="106"/>
      <x:c r="C86" s="106"/>
      <x:c r="D86" s="106"/>
      <x:c r="E86" s="106"/>
      <x:c r="F86" s="106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106"/>
      <x:c r="Q86" s="106"/>
      <x:c r="R86" s="106"/>
      <x:c r="S86" s="106"/>
      <x:c r="T86" s="106"/>
      <x:c r="U86" s="106"/>
      <x:c r="V86" s="106"/>
      <x:c r="W86" s="106"/>
      <x:c r="X86" s="106"/>
      <x:c r="Y86" s="106"/>
      <x:c r="Z86" s="106"/>
    </x:row>
    <x:row r="87">
      <x:c r="A87" s="106"/>
      <x:c r="B87" s="106"/>
      <x:c r="C87" s="106"/>
      <x:c r="D87" s="106"/>
      <x:c r="E87" s="106"/>
      <x:c r="F87" s="106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106"/>
      <x:c r="Q87" s="106"/>
      <x:c r="R87" s="106"/>
      <x:c r="S87" s="106"/>
      <x:c r="T87" s="106"/>
      <x:c r="U87" s="106"/>
      <x:c r="V87" s="106"/>
      <x:c r="W87" s="106"/>
      <x:c r="X87" s="106"/>
      <x:c r="Y87" s="106"/>
      <x:c r="Z87" s="106"/>
    </x:row>
    <x:row r="88">
      <x:c r="A88" s="106"/>
      <x:c r="B88" s="106"/>
      <x:c r="C88" s="106"/>
      <x:c r="D88" s="106"/>
      <x:c r="E88" s="106"/>
      <x:c r="F88" s="106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106"/>
      <x:c r="Q88" s="106"/>
      <x:c r="R88" s="106"/>
      <x:c r="S88" s="106"/>
      <x:c r="T88" s="106"/>
      <x:c r="U88" s="106"/>
      <x:c r="V88" s="106"/>
      <x:c r="W88" s="106"/>
      <x:c r="X88" s="106"/>
      <x:c r="Y88" s="106"/>
      <x:c r="Z88" s="106"/>
    </x:row>
    <x:row r="89">
      <x:c r="A89" s="106"/>
      <x:c r="B89" s="106"/>
      <x:c r="C89" s="106"/>
      <x:c r="D89" s="106"/>
      <x:c r="E89" s="106"/>
      <x:c r="F89" s="106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106"/>
      <x:c r="Q89" s="106"/>
      <x:c r="R89" s="106"/>
      <x:c r="S89" s="106"/>
      <x:c r="T89" s="106"/>
      <x:c r="U89" s="106"/>
      <x:c r="V89" s="106"/>
      <x:c r="W89" s="106"/>
      <x:c r="X89" s="106"/>
      <x:c r="Y89" s="106"/>
      <x:c r="Z89" s="106"/>
    </x:row>
    <x:row r="90">
      <x:c r="A90" s="106"/>
      <x:c r="B90" s="106"/>
      <x:c r="C90" s="106"/>
      <x:c r="D90" s="106"/>
      <x:c r="E90" s="106"/>
      <x:c r="F90" s="106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106"/>
      <x:c r="Q90" s="106"/>
      <x:c r="R90" s="106"/>
      <x:c r="S90" s="106"/>
      <x:c r="T90" s="106"/>
      <x:c r="U90" s="106"/>
      <x:c r="V90" s="106"/>
      <x:c r="W90" s="106"/>
      <x:c r="X90" s="106"/>
      <x:c r="Y90" s="106"/>
      <x:c r="Z90" s="106"/>
    </x:row>
    <x:row r="91">
      <x:c r="A91" s="106"/>
      <x:c r="B91" s="106"/>
      <x:c r="C91" s="106"/>
      <x:c r="D91" s="106"/>
      <x:c r="E91" s="106"/>
      <x:c r="F91" s="106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106"/>
      <x:c r="Q91" s="106"/>
      <x:c r="R91" s="106"/>
      <x:c r="S91" s="106"/>
      <x:c r="T91" s="106"/>
      <x:c r="U91" s="106"/>
      <x:c r="V91" s="106"/>
      <x:c r="W91" s="106"/>
      <x:c r="X91" s="106"/>
      <x:c r="Y91" s="106"/>
      <x:c r="Z91" s="106"/>
    </x:row>
    <x:row r="92">
      <x:c r="A92" s="106"/>
      <x:c r="B92" s="106"/>
      <x:c r="C92" s="106"/>
      <x:c r="D92" s="106"/>
      <x:c r="E92" s="106"/>
      <x:c r="F92" s="106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106"/>
      <x:c r="Q92" s="106"/>
      <x:c r="R92" s="106"/>
      <x:c r="S92" s="106"/>
      <x:c r="T92" s="106"/>
      <x:c r="U92" s="106"/>
      <x:c r="V92" s="106"/>
      <x:c r="W92" s="106"/>
      <x:c r="X92" s="106"/>
      <x:c r="Y92" s="106"/>
      <x:c r="Z92" s="106"/>
    </x:row>
    <x:row r="93">
      <x:c r="A93" s="106"/>
      <x:c r="B93" s="106"/>
      <x:c r="C93" s="106"/>
      <x:c r="D93" s="106"/>
      <x:c r="E93" s="106"/>
      <x:c r="F93" s="106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106"/>
      <x:c r="Q93" s="106"/>
      <x:c r="R93" s="106"/>
      <x:c r="S93" s="106"/>
      <x:c r="T93" s="106"/>
      <x:c r="U93" s="106"/>
      <x:c r="V93" s="106"/>
      <x:c r="W93" s="106"/>
      <x:c r="X93" s="106"/>
      <x:c r="Y93" s="106"/>
      <x:c r="Z93" s="106"/>
    </x:row>
    <x:row r="94">
      <x:c r="A94" s="106"/>
      <x:c r="B94" s="106"/>
      <x:c r="C94" s="106"/>
      <x:c r="D94" s="106"/>
      <x:c r="E94" s="106"/>
      <x:c r="F94" s="106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106"/>
      <x:c r="Q94" s="106"/>
      <x:c r="R94" s="106"/>
      <x:c r="S94" s="106"/>
      <x:c r="T94" s="106"/>
      <x:c r="U94" s="106"/>
      <x:c r="V94" s="106"/>
      <x:c r="W94" s="106"/>
      <x:c r="X94" s="106"/>
      <x:c r="Y94" s="106"/>
      <x:c r="Z94" s="106"/>
    </x:row>
    <x:row r="95">
      <x:c r="A95" s="106"/>
      <x:c r="B95" s="106"/>
      <x:c r="C95" s="106"/>
      <x:c r="D95" s="106"/>
      <x:c r="E95" s="106"/>
      <x:c r="F95" s="106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106"/>
      <x:c r="Q95" s="106"/>
      <x:c r="R95" s="106"/>
      <x:c r="S95" s="106"/>
      <x:c r="T95" s="106"/>
      <x:c r="U95" s="106"/>
      <x:c r="V95" s="106"/>
      <x:c r="W95" s="106"/>
      <x:c r="X95" s="106"/>
      <x:c r="Y95" s="106"/>
      <x:c r="Z95" s="106"/>
    </x:row>
    <x:row r="96">
      <x:c r="A96" s="106"/>
      <x:c r="B96" s="106"/>
      <x:c r="C96" s="106"/>
      <x:c r="D96" s="106"/>
      <x:c r="E96" s="106"/>
      <x:c r="F96" s="106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106"/>
      <x:c r="Q96" s="106"/>
      <x:c r="R96" s="106"/>
      <x:c r="S96" s="106"/>
      <x:c r="T96" s="106"/>
      <x:c r="U96" s="106"/>
      <x:c r="V96" s="106"/>
      <x:c r="W96" s="106"/>
      <x:c r="X96" s="106"/>
      <x:c r="Y96" s="106"/>
      <x:c r="Z96" s="106"/>
    </x:row>
    <x:row r="97">
      <x:c r="A97" s="106"/>
      <x:c r="B97" s="106"/>
      <x:c r="C97" s="106"/>
      <x:c r="D97" s="106"/>
      <x:c r="E97" s="106"/>
      <x:c r="F97" s="106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106"/>
      <x:c r="Q97" s="106"/>
      <x:c r="R97" s="106"/>
      <x:c r="S97" s="106"/>
      <x:c r="T97" s="106"/>
      <x:c r="U97" s="106"/>
      <x:c r="V97" s="106"/>
      <x:c r="W97" s="106"/>
      <x:c r="X97" s="106"/>
      <x:c r="Y97" s="106"/>
      <x:c r="Z97" s="106"/>
    </x:row>
    <x:row r="98">
      <x:c r="A98" s="106"/>
      <x:c r="B98" s="106"/>
      <x:c r="C98" s="106"/>
      <x:c r="D98" s="106"/>
      <x:c r="E98" s="106"/>
      <x:c r="F98" s="106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106"/>
      <x:c r="Q98" s="106"/>
      <x:c r="R98" s="106"/>
      <x:c r="S98" s="106"/>
      <x:c r="T98" s="106"/>
      <x:c r="U98" s="106"/>
      <x:c r="V98" s="106"/>
      <x:c r="W98" s="106"/>
      <x:c r="X98" s="106"/>
      <x:c r="Y98" s="106"/>
      <x:c r="Z98" s="106"/>
    </x:row>
    <x:row r="99">
      <x:c r="A99" s="106"/>
      <x:c r="B99" s="106"/>
      <x:c r="C99" s="106"/>
      <x:c r="D99" s="106"/>
      <x:c r="E99" s="106"/>
      <x:c r="F99" s="106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106"/>
      <x:c r="Q99" s="106"/>
      <x:c r="R99" s="106"/>
      <x:c r="S99" s="106"/>
      <x:c r="T99" s="106"/>
      <x:c r="U99" s="106"/>
      <x:c r="V99" s="106"/>
      <x:c r="W99" s="106"/>
      <x:c r="X99" s="106"/>
      <x:c r="Y99" s="106"/>
      <x:c r="Z99" s="106"/>
    </x:row>
    <x:row r="100">
      <x:c r="A100" s="106"/>
      <x:c r="B100" s="106"/>
      <x:c r="C100" s="106"/>
      <x:c r="D100" s="106"/>
      <x:c r="E100" s="106"/>
      <x:c r="F100" s="106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106"/>
      <x:c r="Q100" s="106"/>
      <x:c r="R100" s="106"/>
      <x:c r="S100" s="106"/>
      <x:c r="T100" s="106"/>
      <x:c r="U100" s="106"/>
      <x:c r="V100" s="106"/>
      <x:c r="W100" s="106"/>
      <x:c r="X100" s="106"/>
      <x:c r="Y100" s="106"/>
      <x:c r="Z100" s="106"/>
    </x:row>
  </x:sheetData>
  <x:mergeCells>
    <x:mergeCell ref="A1:H1"/>
    <x:mergeCell ref="A2:H2"/>
  </x:mergeCells>
  <x:conditionalFormatting sqref="E5:E20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0" hidden="0" customWidth="1"/>
    <x:col min="3" max="3" width="18" hidden="0" customWidth="1"/>
    <x:col min="4" max="4" width="10" hidden="0" customWidth="1"/>
    <x:col min="5" max="5" width="28" hidden="0" customWidth="1"/>
    <x:col min="6" max="6" width="22" hidden="0" customWidth="1"/>
    <x:col min="8" max="8" width="15" hidden="0" customWidth="1"/>
    <x:col min="9" max="9" width="15" hidden="0" customWidth="1"/>
  </x:cols>
  <x:sheetData>
    <x:row r="1" ht="30" customHeight="1">
      <x:c r="A1" s="117" t="str">
        <x:v>03. Rooms Revenue Price-Volume-Mix Bridge</x:v>
      </x:c>
      <x:c r="B1" s="117"/>
      <x:c r="C1" s="117"/>
      <x:c r="D1" s="117"/>
      <x:c r="E1" s="117"/>
      <x:c r="F1" s="117"/>
      <x:c r="G1" s="117"/>
      <x:c r="H1" s="117"/>
      <x:c r="I1" s="117"/>
      <x:c r="J1" s="106"/>
      <x:c r="K1" s="106"/>
      <x:c r="L1" s="106"/>
      <x:c r="M1" s="106"/>
      <x:c r="N1" s="106"/>
      <x:c r="O1" s="106"/>
      <x:c r="P1" s="106"/>
      <x:c r="Q1" s="106"/>
      <x:c r="R1" s="106"/>
      <x:c r="S1" s="106"/>
      <x:c r="T1" s="106"/>
      <x:c r="U1" s="106"/>
      <x:c r="V1" s="106"/>
      <x:c r="W1" s="106"/>
      <x:c r="X1" s="106"/>
      <x:c r="Y1" s="106"/>
      <x:c r="Z1" s="106"/>
    </x:row>
    <x:row r="2" ht="28" customHeight="1">
      <x:c r="A2" s="107" t="str">
        <x:v>Segment-level decomposition of the HK$(360k) rooms revenue variance.</x:v>
      </x:c>
      <x:c r="B2" s="107"/>
      <x:c r="C2" s="107"/>
      <x:c r="D2" s="107"/>
      <x:c r="E2" s="107"/>
      <x:c r="F2" s="107"/>
      <x:c r="G2" s="107"/>
      <x:c r="H2" s="107"/>
      <x:c r="I2" s="107"/>
      <x:c r="J2" s="106"/>
      <x:c r="K2" s="106"/>
      <x:c r="L2" s="106"/>
      <x:c r="M2" s="106"/>
      <x:c r="N2" s="106"/>
      <x:c r="O2" s="106"/>
      <x:c r="P2" s="106"/>
      <x:c r="Q2" s="106"/>
      <x:c r="R2" s="106"/>
      <x:c r="S2" s="106"/>
      <x:c r="T2" s="106"/>
      <x:c r="U2" s="106"/>
      <x:c r="V2" s="106"/>
      <x:c r="W2" s="106"/>
      <x:c r="X2" s="106"/>
      <x:c r="Y2" s="106"/>
      <x:c r="Z2" s="106"/>
    </x:row>
    <x:row r="3">
      <x:c r="A3" s="106"/>
      <x:c r="B3" s="106"/>
      <x:c r="C3" s="106"/>
      <x:c r="D3" s="106"/>
      <x:c r="E3" s="106"/>
      <x:c r="F3" s="106"/>
      <x:c r="G3" s="106"/>
      <x:c r="H3" s="106"/>
      <x:c r="I3" s="106"/>
      <x:c r="J3" s="106"/>
      <x:c r="K3" s="106"/>
      <x:c r="L3" s="106"/>
      <x:c r="M3" s="106"/>
      <x:c r="N3" s="106"/>
      <x:c r="O3" s="106"/>
      <x:c r="P3" s="106"/>
      <x:c r="Q3" s="106"/>
      <x:c r="R3" s="106"/>
      <x:c r="S3" s="106"/>
      <x:c r="T3" s="106"/>
      <x:c r="U3" s="106"/>
      <x:c r="V3" s="106"/>
      <x:c r="W3" s="106"/>
      <x:c r="X3" s="106"/>
      <x:c r="Y3" s="106"/>
      <x:c r="Z3" s="106"/>
    </x:row>
    <x:row r="4">
      <x:c r="A4" s="110" t="str">
        <x:v>Segment</x:v>
      </x:c>
      <x:c r="B4" s="110" t="str">
        <x:v>Budget rooms</x:v>
      </x:c>
      <x:c r="C4" s="110" t="str">
        <x:v>Budget ADR</x:v>
      </x:c>
      <x:c r="D4" s="110" t="str">
        <x:v>Budget revenue</x:v>
      </x:c>
      <x:c r="E4" s="110" t="str">
        <x:v>Actual rooms</x:v>
      </x:c>
      <x:c r="F4" s="110" t="str">
        <x:v>Actual ADR</x:v>
      </x:c>
      <x:c r="G4" s="110" t="str">
        <x:v>Actual revenue</x:v>
      </x:c>
      <x:c r="H4" s="110" t="str">
        <x:v>Budget mix</x:v>
      </x:c>
      <x:c r="I4" s="110" t="str">
        <x:v>Actual mix</x:v>
      </x:c>
      <x:c r="J4" s="106"/>
      <x:c r="K4" s="106"/>
      <x:c r="L4" s="106"/>
      <x:c r="M4" s="106"/>
      <x:c r="N4" s="106"/>
      <x:c r="O4" s="106"/>
      <x:c r="P4" s="106"/>
      <x:c r="Q4" s="106"/>
      <x:c r="R4" s="106"/>
      <x:c r="S4" s="106"/>
      <x:c r="T4" s="106"/>
      <x:c r="U4" s="106"/>
      <x:c r="V4" s="106"/>
      <x:c r="W4" s="106"/>
      <x:c r="X4" s="106"/>
      <x:c r="Y4" s="106"/>
      <x:c r="Z4" s="106"/>
    </x:row>
    <x:row r="5">
      <x:c r="A5" s="106" t="str">
        <x:v>Transient</x:v>
      </x:c>
      <x:c r="B5" s="135" t="n">
        <x:f>'01_Inputs'!C8</x:f>
        <x:v>3600</x:v>
      </x:c>
      <x:c r="C5" s="136" t="n">
        <x:f>'01_Inputs'!C9</x:f>
        <x:v>2800</x:v>
      </x:c>
      <x:c r="D5" s="136" t="n">
        <x:f>B5*C5</x:f>
        <x:v>10080000</x:v>
      </x:c>
      <x:c r="E5" s="135" t="n">
        <x:f>'01_Inputs'!D8</x:f>
        <x:v>3234</x:v>
      </x:c>
      <x:c r="F5" s="136" t="n">
        <x:f>'01_Inputs'!D9</x:f>
        <x:v>2650</x:v>
      </x:c>
      <x:c r="G5" s="136" t="n">
        <x:f>E5*F5</x:f>
        <x:v>8570100</x:v>
      </x:c>
      <x:c r="H5" s="137" t="n">
        <x:f>B5/SUM($B$5:$B$7)</x:f>
        <x:v>0.5</x:v>
      </x:c>
      <x:c r="I5" s="137" t="n">
        <x:f>E5/SUM($E$5:$E$7)</x:f>
        <x:v>0.44</x:v>
      </x:c>
      <x:c r="J5" s="106"/>
      <x:c r="K5" s="106"/>
      <x:c r="L5" s="106"/>
      <x:c r="M5" s="106"/>
      <x:c r="N5" s="106"/>
      <x:c r="O5" s="106"/>
      <x:c r="P5" s="106"/>
      <x:c r="Q5" s="106"/>
      <x:c r="R5" s="106"/>
      <x:c r="S5" s="106"/>
      <x:c r="T5" s="106"/>
      <x:c r="U5" s="106"/>
      <x:c r="V5" s="106"/>
      <x:c r="W5" s="106"/>
      <x:c r="X5" s="106"/>
      <x:c r="Y5" s="106"/>
      <x:c r="Z5" s="106"/>
    </x:row>
    <x:row r="6">
      <x:c r="A6" s="106" t="str">
        <x:v>Group</x:v>
      </x:c>
      <x:c r="B6" s="135" t="n">
        <x:f>'01_Inputs'!C10</x:f>
        <x:v>2160</x:v>
      </x:c>
      <x:c r="C6" s="136" t="n">
        <x:f>'01_Inputs'!C11</x:f>
        <x:v>2200</x:v>
      </x:c>
      <x:c r="D6" s="136" t="n">
        <x:f>B6*C6</x:f>
        <x:v>4752000</x:v>
      </x:c>
      <x:c r="E6" s="135" t="n">
        <x:f>'01_Inputs'!D10</x:f>
        <x:v>2646</x:v>
      </x:c>
      <x:c r="F6" s="136" t="n">
        <x:f>'01_Inputs'!D11</x:f>
        <x:v>2200</x:v>
      </x:c>
      <x:c r="G6" s="136" t="n">
        <x:f>E6*F6</x:f>
        <x:v>5821200</x:v>
      </x:c>
      <x:c r="H6" s="137" t="n">
        <x:f>B6/SUM($B$5:$B$7)</x:f>
        <x:v>0.3</x:v>
      </x:c>
      <x:c r="I6" s="137" t="n">
        <x:f>E6/SUM($E$5:$E$7)</x:f>
        <x:v>0.36</x:v>
      </x:c>
      <x:c r="J6" s="106"/>
      <x:c r="K6" s="106"/>
      <x:c r="L6" s="106"/>
      <x:c r="M6" s="106"/>
      <x:c r="N6" s="106"/>
      <x:c r="O6" s="106"/>
      <x:c r="P6" s="106"/>
      <x:c r="Q6" s="106"/>
      <x:c r="R6" s="106"/>
      <x:c r="S6" s="106"/>
      <x:c r="T6" s="106"/>
      <x:c r="U6" s="106"/>
      <x:c r="V6" s="106"/>
      <x:c r="W6" s="106"/>
      <x:c r="X6" s="106"/>
      <x:c r="Y6" s="106"/>
      <x:c r="Z6" s="106"/>
    </x:row>
    <x:row r="7">
      <x:c r="A7" s="106" t="str">
        <x:v>Package / Other</x:v>
      </x:c>
      <x:c r="B7" s="135" t="n">
        <x:f>'01_Inputs'!C12</x:f>
        <x:v>1440</x:v>
      </x:c>
      <x:c r="C7" s="136" t="n">
        <x:f>'01_Inputs'!C13</x:f>
        <x:v>2200</x:v>
      </x:c>
      <x:c r="D7" s="136" t="n">
        <x:f>B7*C7</x:f>
        <x:v>3168000</x:v>
      </x:c>
      <x:c r="E7" s="135" t="n">
        <x:f>'01_Inputs'!D12</x:f>
        <x:v>1470</x:v>
      </x:c>
      <x:c r="F7" s="136" t="n">
        <x:f>'01_Inputs'!D13</x:f>
        <x:v>2210</x:v>
      </x:c>
      <x:c r="G7" s="136" t="n">
        <x:f>E7*F7</x:f>
        <x:v>3248700</x:v>
      </x:c>
      <x:c r="H7" s="137" t="n">
        <x:f>B7/SUM($B$5:$B$7)</x:f>
        <x:v>0.2</x:v>
      </x:c>
      <x:c r="I7" s="137" t="n">
        <x:f>E7/SUM($E$5:$E$7)</x:f>
        <x:v>0.2</x:v>
      </x:c>
      <x:c r="J7" s="106"/>
      <x:c r="K7" s="106"/>
      <x:c r="L7" s="106"/>
      <x:c r="M7" s="106"/>
      <x:c r="N7" s="106"/>
      <x:c r="O7" s="106"/>
      <x:c r="P7" s="106"/>
      <x:c r="Q7" s="106"/>
      <x:c r="R7" s="106"/>
      <x:c r="S7" s="106"/>
      <x:c r="T7" s="106"/>
      <x:c r="U7" s="106"/>
      <x:c r="V7" s="106"/>
      <x:c r="W7" s="106"/>
      <x:c r="X7" s="106"/>
      <x:c r="Y7" s="106"/>
      <x:c r="Z7" s="106"/>
    </x:row>
    <x:row r="8">
      <x:c r="A8" s="129" t="str">
        <x:v>Total</x:v>
      </x:c>
      <x:c r="B8" s="138" t="n">
        <x:f>SUM(B5:B7)</x:f>
        <x:v>7200</x:v>
      </x:c>
      <x:c r="C8" s="138"/>
      <x:c r="D8" s="139" t="n">
        <x:f>SUM(D5:D7)</x:f>
        <x:v>18000000</x:v>
      </x:c>
      <x:c r="E8" s="138" t="n">
        <x:f>SUM(E5:E7)</x:f>
        <x:v>7350</x:v>
      </x:c>
      <x:c r="F8" s="138"/>
      <x:c r="G8" s="139" t="n">
        <x:f>SUM(G5:G7)</x:f>
        <x:v>17640000</x:v>
      </x:c>
      <x:c r="H8" s="138"/>
      <x:c r="I8" s="138"/>
      <x:c r="J8" s="106"/>
      <x:c r="K8" s="106"/>
      <x:c r="L8" s="106"/>
      <x:c r="M8" s="106"/>
      <x:c r="N8" s="106"/>
      <x:c r="O8" s="106"/>
      <x:c r="P8" s="106"/>
      <x:c r="Q8" s="106"/>
      <x:c r="R8" s="106"/>
      <x:c r="S8" s="106"/>
      <x:c r="T8" s="106"/>
      <x:c r="U8" s="106"/>
      <x:c r="V8" s="106"/>
      <x:c r="W8" s="106"/>
      <x:c r="X8" s="106"/>
      <x:c r="Y8" s="106"/>
      <x:c r="Z8" s="106"/>
    </x:row>
    <x:row r="9">
      <x:c r="A9" s="106"/>
      <x:c r="B9" s="106"/>
      <x:c r="C9" s="106"/>
      <x:c r="D9" s="106"/>
      <x:c r="E9" s="106"/>
      <x:c r="F9" s="106"/>
      <x:c r="G9" s="106"/>
      <x:c r="H9" s="106"/>
      <x:c r="I9" s="106"/>
      <x:c r="J9" s="106"/>
      <x:c r="K9" s="106"/>
      <x:c r="L9" s="106"/>
      <x:c r="M9" s="106"/>
      <x:c r="N9" s="106"/>
      <x:c r="O9" s="106"/>
      <x:c r="P9" s="106"/>
      <x:c r="Q9" s="106"/>
      <x:c r="R9" s="106"/>
      <x:c r="S9" s="106"/>
      <x:c r="T9" s="106"/>
      <x:c r="U9" s="106"/>
      <x:c r="V9" s="106"/>
      <x:c r="W9" s="106"/>
      <x:c r="X9" s="106"/>
      <x:c r="Y9" s="106"/>
      <x:c r="Z9" s="106"/>
    </x:row>
    <x:row r="10">
      <x:c r="A10" s="106"/>
      <x:c r="B10" s="106"/>
      <x:c r="C10" s="106"/>
      <x:c r="D10" s="106"/>
      <x:c r="E10" s="106"/>
      <x:c r="F10" s="106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106"/>
      <x:c r="Q10" s="106"/>
      <x:c r="R10" s="106"/>
      <x:c r="S10" s="106"/>
      <x:c r="T10" s="106"/>
      <x:c r="U10" s="106"/>
      <x:c r="V10" s="106"/>
      <x:c r="W10" s="106"/>
      <x:c r="X10" s="106"/>
      <x:c r="Y10" s="106"/>
      <x:c r="Z10" s="106"/>
    </x:row>
    <x:row r="11">
      <x:c r="A11" s="108" t="str">
        <x:v>PVM bridge</x:v>
      </x:c>
      <x:c r="B11" s="108"/>
      <x:c r="C11" s="108"/>
      <x:c r="D11" s="108"/>
      <x:c r="E11" s="108"/>
      <x:c r="F11" s="108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106"/>
      <x:c r="Q11" s="106"/>
      <x:c r="R11" s="106"/>
      <x:c r="S11" s="106"/>
      <x:c r="T11" s="106"/>
      <x:c r="U11" s="106"/>
      <x:c r="V11" s="106"/>
      <x:c r="W11" s="106"/>
      <x:c r="X11" s="106"/>
      <x:c r="Y11" s="106"/>
      <x:c r="Z11" s="106"/>
    </x:row>
    <x:row r="12">
      <x:c r="A12" s="110" t="str">
        <x:v>Bridge component</x:v>
      </x:c>
      <x:c r="B12" s="110" t="str">
        <x:v>Formula logic</x:v>
      </x:c>
      <x:c r="C12" s="110" t="str">
        <x:v>Impact (HK$)</x:v>
      </x:c>
      <x:c r="D12" s="110" t="str">
        <x:v>F/(U)</x:v>
      </x:c>
      <x:c r="E12" s="110" t="str">
        <x:v>Interpretation</x:v>
      </x:c>
      <x:c r="F12" s="110" t="str">
        <x:v>Control</x:v>
      </x:c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106"/>
      <x:c r="Q12" s="106"/>
      <x:c r="R12" s="106"/>
      <x:c r="S12" s="106"/>
      <x:c r="T12" s="106"/>
      <x:c r="U12" s="106"/>
      <x:c r="V12" s="106"/>
      <x:c r="W12" s="106"/>
      <x:c r="X12" s="106"/>
      <x:c r="Y12" s="106"/>
      <x:c r="Z12" s="106"/>
    </x:row>
    <x:row r="13">
      <x:c r="A13" s="106" t="str">
        <x:v>Budget rooms revenue</x:v>
      </x:c>
      <x:c r="B13" s="106" t="str">
        <x:v>Budget volume x budget mix x budget ADR</x:v>
      </x:c>
      <x:c r="C13" s="121" t="n">
        <x:f>D8</x:f>
        <x:v>18000000</x:v>
      </x:c>
      <x:c r="D13" s="106" t="str">
        <x:v>Start</x:v>
      </x:c>
      <x:c r="E13" s="106" t="str">
        <x:v>Reference</x:v>
      </x:c>
      <x:c r="F13" s="106" t="str">
        <x:v>-</x:v>
      </x:c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106"/>
      <x:c r="Q13" s="106"/>
      <x:c r="R13" s="106"/>
      <x:c r="S13" s="106"/>
      <x:c r="T13" s="106"/>
      <x:c r="U13" s="106"/>
      <x:c r="V13" s="106"/>
      <x:c r="W13" s="106"/>
      <x:c r="X13" s="106"/>
      <x:c r="Y13" s="106"/>
      <x:c r="Z13" s="106"/>
    </x:row>
    <x:row r="14">
      <x:c r="A14" s="106" t="str">
        <x:v>Volume effect</x:v>
      </x:c>
      <x:c r="B14" s="106" t="str">
        <x:v>Change in total rooms sold at budget mix and rate</x:v>
      </x:c>
      <x:c r="C14" s="121" t="n">
        <x:f>(E8-B8)*SUMPRODUCT($H$5:$H$7,$C$5:$C$7)</x:f>
        <x:v>375000</x:v>
      </x:c>
      <x:c r="D14" s="106" t="str">
        <x:v>F</x:v>
      </x:c>
      <x:c r="E14" s="106" t="str">
        <x:v>Higher occupancy / volume</x:v>
      </x:c>
      <x:c r="F14" s="106" t="str">
        <x:v>Validate room nights</x:v>
      </x:c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106"/>
      <x:c r="Q14" s="106"/>
      <x:c r="R14" s="106"/>
      <x:c r="S14" s="106"/>
      <x:c r="T14" s="106"/>
      <x:c r="U14" s="106"/>
      <x:c r="V14" s="106"/>
      <x:c r="W14" s="106"/>
      <x:c r="X14" s="106"/>
      <x:c r="Y14" s="106"/>
      <x:c r="Z14" s="106"/>
    </x:row>
    <x:row r="15">
      <x:c r="A15" s="106" t="str">
        <x:v>Mix effect</x:v>
      </x:c>
      <x:c r="B15" s="106" t="str">
        <x:v>Actual total volume x mix shift at budget rate</x:v>
      </x:c>
      <x:c r="C15" s="121" t="n">
        <x:f>E8*SUMPRODUCT($I$5:$I$7-$H$5:$H$7,$C$5:$C$7)</x:f>
        <x:v>-264600</x:v>
      </x:c>
      <x:c r="D15" s="106" t="str">
        <x:v>U</x:v>
      </x:c>
      <x:c r="E15" s="106" t="str">
        <x:v>Shift away from higher-rate segment</x:v>
      </x:c>
      <x:c r="F15" s="106" t="str">
        <x:v>Monitor segment mix</x:v>
      </x:c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106"/>
      <x:c r="Q15" s="106"/>
      <x:c r="R15" s="106"/>
      <x:c r="S15" s="106"/>
      <x:c r="T15" s="106"/>
      <x:c r="U15" s="106"/>
      <x:c r="V15" s="106"/>
      <x:c r="W15" s="106"/>
      <x:c r="X15" s="106"/>
      <x:c r="Y15" s="106"/>
      <x:c r="Z15" s="106"/>
    </x:row>
    <x:row r="16">
      <x:c r="A16" s="106" t="str">
        <x:v>Price effect</x:v>
      </x:c>
      <x:c r="B16" s="106" t="str">
        <x:v>Actual volume x ADR change by segment</x:v>
      </x:c>
      <x:c r="C16" s="121" t="n">
        <x:f>SUMPRODUCT($E$5:$E$7,$F$5:$F$7-$C$5:$C$7)</x:f>
        <x:v>-470400</x:v>
      </x:c>
      <x:c r="D16" s="106" t="str">
        <x:v>U</x:v>
      </x:c>
      <x:c r="E16" s="106" t="str">
        <x:v>Rate pressure, especially Transient</x:v>
      </x:c>
      <x:c r="F16" s="106" t="str">
        <x:v>Rate / channel review</x:v>
      </x:c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106"/>
      <x:c r="Q16" s="106"/>
      <x:c r="R16" s="106"/>
      <x:c r="S16" s="106"/>
      <x:c r="T16" s="106"/>
      <x:c r="U16" s="106"/>
      <x:c r="V16" s="106"/>
      <x:c r="W16" s="106"/>
      <x:c r="X16" s="106"/>
      <x:c r="Y16" s="106"/>
      <x:c r="Z16" s="106"/>
    </x:row>
    <x:row r="17">
      <x:c r="A17" s="129" t="str">
        <x:v>Actual rooms revenue</x:v>
      </x:c>
      <x:c r="B17" s="129" t="str">
        <x:v>Budget + Volume + Mix + Price</x:v>
      </x:c>
      <x:c r="C17" s="130" t="n">
        <x:f>C13+C14+C15+C16</x:f>
        <x:v>17640000</x:v>
      </x:c>
      <x:c r="D17" s="129" t="str">
        <x:v>End</x:v>
      </x:c>
      <x:c r="E17" s="129" t="str">
        <x:v>Reconciles to actual</x:v>
      </x:c>
      <x:c r="F17" s="129" t="str">
        <x:v>Tie to P&amp;L</x:v>
      </x:c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106"/>
      <x:c r="Q17" s="106"/>
      <x:c r="R17" s="106"/>
      <x:c r="S17" s="106"/>
      <x:c r="T17" s="106"/>
      <x:c r="U17" s="106"/>
      <x:c r="V17" s="106"/>
      <x:c r="W17" s="106"/>
      <x:c r="X17" s="106"/>
      <x:c r="Y17" s="106"/>
      <x:c r="Z17" s="106"/>
    </x:row>
    <x:row r="18">
      <x:c r="A18" s="106"/>
      <x:c r="B18" s="106"/>
      <x:c r="C18" s="106"/>
      <x:c r="D18" s="106"/>
      <x:c r="E18" s="106"/>
      <x:c r="F18" s="106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106"/>
      <x:c r="Q18" s="106"/>
      <x:c r="R18" s="106"/>
      <x:c r="S18" s="106"/>
      <x:c r="T18" s="106"/>
      <x:c r="U18" s="106"/>
      <x:c r="V18" s="106"/>
      <x:c r="W18" s="106"/>
      <x:c r="X18" s="106"/>
      <x:c r="Y18" s="106"/>
      <x:c r="Z18" s="106"/>
    </x:row>
    <x:row r="19">
      <x:c r="A19" s="106"/>
      <x:c r="B19" s="106"/>
      <x:c r="C19" s="106"/>
      <x:c r="D19" s="106"/>
      <x:c r="E19" s="106"/>
      <x:c r="F19" s="106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106"/>
      <x:c r="Q19" s="106"/>
      <x:c r="R19" s="106"/>
      <x:c r="S19" s="106"/>
      <x:c r="T19" s="106"/>
      <x:c r="U19" s="106"/>
      <x:c r="V19" s="106"/>
      <x:c r="W19" s="106"/>
      <x:c r="X19" s="106"/>
      <x:c r="Y19" s="106"/>
      <x:c r="Z19" s="106"/>
    </x:row>
    <x:row r="20">
      <x:c r="A20" s="106"/>
      <x:c r="B20" s="106"/>
      <x:c r="C20" s="106"/>
      <x:c r="D20" s="106"/>
      <x:c r="E20" s="106"/>
      <x:c r="F20" s="106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106"/>
      <x:c r="Q20" s="106"/>
      <x:c r="R20" s="106"/>
      <x:c r="S20" s="106"/>
      <x:c r="T20" s="106"/>
      <x:c r="U20" s="106"/>
      <x:c r="V20" s="106"/>
      <x:c r="W20" s="106"/>
      <x:c r="X20" s="106"/>
      <x:c r="Y20" s="106"/>
      <x:c r="Z20" s="106"/>
    </x:row>
    <x:row r="21">
      <x:c r="A21" s="106"/>
      <x:c r="B21" s="106"/>
      <x:c r="C21" s="106"/>
      <x:c r="D21" s="106"/>
      <x:c r="E21" s="106"/>
      <x:c r="F21" s="106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106"/>
      <x:c r="Q21" s="106"/>
      <x:c r="R21" s="106"/>
      <x:c r="S21" s="106"/>
      <x:c r="T21" s="106"/>
      <x:c r="U21" s="106"/>
      <x:c r="V21" s="106"/>
      <x:c r="W21" s="106"/>
      <x:c r="X21" s="106"/>
      <x:c r="Y21" s="106"/>
      <x:c r="Z21" s="106"/>
    </x:row>
    <x:row r="22">
      <x:c r="A22" s="106"/>
      <x:c r="B22" s="106"/>
      <x:c r="C22" s="106"/>
      <x:c r="D22" s="106"/>
      <x:c r="E22" s="106"/>
      <x:c r="F22" s="106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106"/>
      <x:c r="Q22" s="106"/>
      <x:c r="R22" s="106"/>
      <x:c r="S22" s="106"/>
      <x:c r="T22" s="106"/>
      <x:c r="U22" s="106"/>
      <x:c r="V22" s="106"/>
      <x:c r="W22" s="106"/>
      <x:c r="X22" s="106"/>
      <x:c r="Y22" s="106"/>
      <x:c r="Z22" s="106"/>
    </x:row>
    <x:row r="23">
      <x:c r="A23" s="106"/>
      <x:c r="B23" s="106"/>
      <x:c r="C23" s="106"/>
      <x:c r="D23" s="106"/>
      <x:c r="E23" s="106"/>
      <x:c r="F23" s="106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106"/>
      <x:c r="Q23" s="106"/>
      <x:c r="R23" s="106"/>
      <x:c r="S23" s="106"/>
      <x:c r="T23" s="106"/>
      <x:c r="U23" s="106"/>
      <x:c r="V23" s="106"/>
      <x:c r="W23" s="106"/>
      <x:c r="X23" s="106"/>
      <x:c r="Y23" s="106"/>
      <x:c r="Z23" s="106"/>
    </x:row>
    <x:row r="24">
      <x:c r="A24" s="106"/>
      <x:c r="B24" s="106"/>
      <x:c r="C24" s="106"/>
      <x:c r="D24" s="106"/>
      <x:c r="E24" s="106"/>
      <x:c r="F24" s="106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106"/>
      <x:c r="Q24" s="106"/>
      <x:c r="R24" s="106"/>
      <x:c r="S24" s="106"/>
      <x:c r="T24" s="106"/>
      <x:c r="U24" s="106"/>
      <x:c r="V24" s="106"/>
      <x:c r="W24" s="106"/>
      <x:c r="X24" s="106"/>
      <x:c r="Y24" s="106"/>
      <x:c r="Z24" s="106"/>
    </x:row>
    <x:row r="25">
      <x:c r="A25" s="106"/>
      <x:c r="B25" s="106"/>
      <x:c r="C25" s="106"/>
      <x:c r="D25" s="106"/>
      <x:c r="E25" s="106"/>
      <x:c r="F25" s="106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106"/>
      <x:c r="Q25" s="106"/>
      <x:c r="R25" s="106"/>
      <x:c r="S25" s="106"/>
      <x:c r="T25" s="106"/>
      <x:c r="U25" s="106"/>
      <x:c r="V25" s="106"/>
      <x:c r="W25" s="106"/>
      <x:c r="X25" s="106"/>
      <x:c r="Y25" s="106"/>
      <x:c r="Z25" s="106"/>
    </x:row>
    <x:row r="26">
      <x:c r="A26" s="106"/>
      <x:c r="B26" s="106"/>
      <x:c r="C26" s="106"/>
      <x:c r="D26" s="106"/>
      <x:c r="E26" s="106"/>
      <x:c r="F26" s="106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106"/>
      <x:c r="Q26" s="106"/>
      <x:c r="R26" s="106"/>
      <x:c r="S26" s="106"/>
      <x:c r="T26" s="106"/>
      <x:c r="U26" s="106"/>
      <x:c r="V26" s="106"/>
      <x:c r="W26" s="106"/>
      <x:c r="X26" s="106"/>
      <x:c r="Y26" s="106"/>
      <x:c r="Z26" s="106"/>
    </x:row>
    <x:row r="27">
      <x:c r="A27" s="106"/>
      <x:c r="B27" s="106"/>
      <x:c r="C27" s="106"/>
      <x:c r="D27" s="106"/>
      <x:c r="E27" s="106"/>
      <x:c r="F27" s="106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106"/>
      <x:c r="Q27" s="106"/>
      <x:c r="R27" s="106"/>
      <x:c r="S27" s="106"/>
      <x:c r="T27" s="106"/>
      <x:c r="U27" s="106"/>
      <x:c r="V27" s="106"/>
      <x:c r="W27" s="106"/>
      <x:c r="X27" s="106"/>
      <x:c r="Y27" s="106"/>
      <x:c r="Z27" s="106"/>
    </x:row>
    <x:row r="28">
      <x:c r="A28" s="106"/>
      <x:c r="B28" s="106"/>
      <x:c r="C28" s="106"/>
      <x:c r="D28" s="106"/>
      <x:c r="E28" s="106"/>
      <x:c r="F28" s="106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106"/>
      <x:c r="Q28" s="106"/>
      <x:c r="R28" s="106"/>
      <x:c r="S28" s="106"/>
      <x:c r="T28" s="106"/>
      <x:c r="U28" s="106"/>
      <x:c r="V28" s="106"/>
      <x:c r="W28" s="106"/>
      <x:c r="X28" s="106"/>
      <x:c r="Y28" s="106"/>
      <x:c r="Z28" s="106"/>
    </x:row>
    <x:row r="29">
      <x:c r="A29" s="106"/>
      <x:c r="B29" s="106"/>
      <x:c r="C29" s="106"/>
      <x:c r="D29" s="106"/>
      <x:c r="E29" s="106"/>
      <x:c r="F29" s="106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106"/>
      <x:c r="Q29" s="106"/>
      <x:c r="R29" s="106"/>
      <x:c r="S29" s="106"/>
      <x:c r="T29" s="106"/>
      <x:c r="U29" s="106"/>
      <x:c r="V29" s="106"/>
      <x:c r="W29" s="106"/>
      <x:c r="X29" s="106"/>
      <x:c r="Y29" s="106"/>
      <x:c r="Z29" s="106"/>
    </x:row>
    <x:row r="30">
      <x:c r="A30" s="106"/>
      <x:c r="B30" s="106"/>
      <x:c r="C30" s="106"/>
      <x:c r="D30" s="106"/>
      <x:c r="E30" s="106"/>
      <x:c r="F30" s="106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106"/>
      <x:c r="Q30" s="106"/>
      <x:c r="R30" s="106"/>
      <x:c r="S30" s="106"/>
      <x:c r="T30" s="106"/>
      <x:c r="U30" s="106"/>
      <x:c r="V30" s="106"/>
      <x:c r="W30" s="106"/>
      <x:c r="X30" s="106"/>
      <x:c r="Y30" s="106"/>
      <x:c r="Z30" s="106"/>
    </x:row>
    <x:row r="31">
      <x:c r="A31" s="106"/>
      <x:c r="B31" s="106"/>
      <x:c r="C31" s="106"/>
      <x:c r="D31" s="106"/>
      <x:c r="E31" s="106"/>
      <x:c r="F31" s="106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106"/>
      <x:c r="Q31" s="106"/>
      <x:c r="R31" s="106"/>
      <x:c r="S31" s="106"/>
      <x:c r="T31" s="106"/>
      <x:c r="U31" s="106"/>
      <x:c r="V31" s="106"/>
      <x:c r="W31" s="106"/>
      <x:c r="X31" s="106"/>
      <x:c r="Y31" s="106"/>
      <x:c r="Z31" s="106"/>
    </x:row>
    <x:row r="32">
      <x:c r="A32" s="106"/>
      <x:c r="B32" s="106"/>
      <x:c r="C32" s="106"/>
      <x:c r="D32" s="106"/>
      <x:c r="E32" s="106"/>
      <x:c r="F32" s="106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106"/>
      <x:c r="Q32" s="106"/>
      <x:c r="R32" s="106"/>
      <x:c r="S32" s="106"/>
      <x:c r="T32" s="106"/>
      <x:c r="U32" s="106"/>
      <x:c r="V32" s="106"/>
      <x:c r="W32" s="106"/>
      <x:c r="X32" s="106"/>
      <x:c r="Y32" s="106"/>
      <x:c r="Z32" s="106"/>
    </x:row>
    <x:row r="33">
      <x:c r="A33" s="106"/>
      <x:c r="B33" s="106"/>
      <x:c r="C33" s="106"/>
      <x:c r="D33" s="106"/>
      <x:c r="E33" s="106"/>
      <x:c r="F33" s="106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106"/>
      <x:c r="Q33" s="106"/>
      <x:c r="R33" s="106"/>
      <x:c r="S33" s="106"/>
      <x:c r="T33" s="106"/>
      <x:c r="U33" s="106"/>
      <x:c r="V33" s="106"/>
      <x:c r="W33" s="106"/>
      <x:c r="X33" s="106"/>
      <x:c r="Y33" s="106"/>
      <x:c r="Z33" s="106"/>
    </x:row>
    <x:row r="34">
      <x:c r="A34" s="106"/>
      <x:c r="B34" s="106"/>
      <x:c r="C34" s="106"/>
      <x:c r="D34" s="106"/>
      <x:c r="E34" s="106"/>
      <x:c r="F34" s="106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106"/>
      <x:c r="Q34" s="106"/>
      <x:c r="R34" s="106"/>
      <x:c r="S34" s="106"/>
      <x:c r="T34" s="106"/>
      <x:c r="U34" s="106"/>
      <x:c r="V34" s="106"/>
      <x:c r="W34" s="106"/>
      <x:c r="X34" s="106"/>
      <x:c r="Y34" s="106"/>
      <x:c r="Z34" s="106"/>
    </x:row>
    <x:row r="35">
      <x:c r="A35" s="106"/>
      <x:c r="B35" s="106"/>
      <x:c r="C35" s="106"/>
      <x:c r="D35" s="106"/>
      <x:c r="E35" s="106"/>
      <x:c r="F35" s="106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106"/>
      <x:c r="Q35" s="106"/>
      <x:c r="R35" s="106"/>
      <x:c r="S35" s="106"/>
      <x:c r="T35" s="106"/>
      <x:c r="U35" s="106"/>
      <x:c r="V35" s="106"/>
      <x:c r="W35" s="106"/>
      <x:c r="X35" s="106"/>
      <x:c r="Y35" s="106"/>
      <x:c r="Z35" s="106"/>
    </x:row>
    <x:row r="36">
      <x:c r="A36" s="106"/>
      <x:c r="B36" s="106"/>
      <x:c r="C36" s="106"/>
      <x:c r="D36" s="106"/>
      <x:c r="E36" s="106"/>
      <x:c r="F36" s="106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106"/>
      <x:c r="Q36" s="106"/>
      <x:c r="R36" s="106"/>
      <x:c r="S36" s="106"/>
      <x:c r="T36" s="106"/>
      <x:c r="U36" s="106"/>
      <x:c r="V36" s="106"/>
      <x:c r="W36" s="106"/>
      <x:c r="X36" s="106"/>
      <x:c r="Y36" s="106"/>
      <x:c r="Z36" s="106"/>
    </x:row>
    <x:row r="37">
      <x:c r="A37" s="106"/>
      <x:c r="B37" s="106"/>
      <x:c r="C37" s="106"/>
      <x:c r="D37" s="106"/>
      <x:c r="E37" s="106"/>
      <x:c r="F37" s="106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106"/>
      <x:c r="Q37" s="106"/>
      <x:c r="R37" s="106"/>
      <x:c r="S37" s="106"/>
      <x:c r="T37" s="106"/>
      <x:c r="U37" s="106"/>
      <x:c r="V37" s="106"/>
      <x:c r="W37" s="106"/>
      <x:c r="X37" s="106"/>
      <x:c r="Y37" s="106"/>
      <x:c r="Z37" s="106"/>
    </x:row>
    <x:row r="38">
      <x:c r="A38" s="106"/>
      <x:c r="B38" s="106"/>
      <x:c r="C38" s="106"/>
      <x:c r="D38" s="106"/>
      <x:c r="E38" s="106"/>
      <x:c r="F38" s="106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106"/>
      <x:c r="Q38" s="106"/>
      <x:c r="R38" s="106"/>
      <x:c r="S38" s="106"/>
      <x:c r="T38" s="106"/>
      <x:c r="U38" s="106"/>
      <x:c r="V38" s="106"/>
      <x:c r="W38" s="106"/>
      <x:c r="X38" s="106"/>
      <x:c r="Y38" s="106"/>
      <x:c r="Z38" s="106"/>
    </x:row>
    <x:row r="39">
      <x:c r="A39" s="106"/>
      <x:c r="B39" s="106"/>
      <x:c r="C39" s="106"/>
      <x:c r="D39" s="106"/>
      <x:c r="E39" s="106"/>
      <x:c r="F39" s="106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106"/>
      <x:c r="Q39" s="106"/>
      <x:c r="R39" s="106"/>
      <x:c r="S39" s="106"/>
      <x:c r="T39" s="106"/>
      <x:c r="U39" s="106"/>
      <x:c r="V39" s="106"/>
      <x:c r="W39" s="106"/>
      <x:c r="X39" s="106"/>
      <x:c r="Y39" s="106"/>
      <x:c r="Z39" s="106"/>
    </x:row>
    <x:row r="40">
      <x:c r="A40" s="106"/>
      <x:c r="B40" s="106"/>
      <x:c r="C40" s="106"/>
      <x:c r="D40" s="106"/>
      <x:c r="E40" s="106"/>
      <x:c r="F40" s="106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106"/>
      <x:c r="Q40" s="106"/>
      <x:c r="R40" s="106"/>
      <x:c r="S40" s="106"/>
      <x:c r="T40" s="106"/>
      <x:c r="U40" s="106"/>
      <x:c r="V40" s="106"/>
      <x:c r="W40" s="106"/>
      <x:c r="X40" s="106"/>
      <x:c r="Y40" s="106"/>
      <x:c r="Z40" s="106"/>
    </x:row>
    <x:row r="41">
      <x:c r="A41" s="106"/>
      <x:c r="B41" s="106"/>
      <x:c r="C41" s="106"/>
      <x:c r="D41" s="106"/>
      <x:c r="E41" s="106"/>
      <x:c r="F41" s="106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106"/>
      <x:c r="Q41" s="106"/>
      <x:c r="R41" s="106"/>
      <x:c r="S41" s="106"/>
      <x:c r="T41" s="106"/>
      <x:c r="U41" s="106"/>
      <x:c r="V41" s="106"/>
      <x:c r="W41" s="106"/>
      <x:c r="X41" s="106"/>
      <x:c r="Y41" s="106"/>
      <x:c r="Z41" s="106"/>
    </x:row>
    <x:row r="42">
      <x:c r="A42" s="106"/>
      <x:c r="B42" s="106"/>
      <x:c r="C42" s="106"/>
      <x:c r="D42" s="106"/>
      <x:c r="E42" s="106"/>
      <x:c r="F42" s="106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106"/>
      <x:c r="Q42" s="106"/>
      <x:c r="R42" s="106"/>
      <x:c r="S42" s="106"/>
      <x:c r="T42" s="106"/>
      <x:c r="U42" s="106"/>
      <x:c r="V42" s="106"/>
      <x:c r="W42" s="106"/>
      <x:c r="X42" s="106"/>
      <x:c r="Y42" s="106"/>
      <x:c r="Z42" s="106"/>
    </x:row>
    <x:row r="43">
      <x:c r="A43" s="106"/>
      <x:c r="B43" s="106"/>
      <x:c r="C43" s="106"/>
      <x:c r="D43" s="106"/>
      <x:c r="E43" s="106"/>
      <x:c r="F43" s="106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106"/>
      <x:c r="Q43" s="106"/>
      <x:c r="R43" s="106"/>
      <x:c r="S43" s="106"/>
      <x:c r="T43" s="106"/>
      <x:c r="U43" s="106"/>
      <x:c r="V43" s="106"/>
      <x:c r="W43" s="106"/>
      <x:c r="X43" s="106"/>
      <x:c r="Y43" s="106"/>
      <x:c r="Z43" s="106"/>
    </x:row>
    <x:row r="44">
      <x:c r="A44" s="106"/>
      <x:c r="B44" s="106"/>
      <x:c r="C44" s="106"/>
      <x:c r="D44" s="106"/>
      <x:c r="E44" s="106"/>
      <x:c r="F44" s="106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106"/>
      <x:c r="Q44" s="106"/>
      <x:c r="R44" s="106"/>
      <x:c r="S44" s="106"/>
      <x:c r="T44" s="106"/>
      <x:c r="U44" s="106"/>
      <x:c r="V44" s="106"/>
      <x:c r="W44" s="106"/>
      <x:c r="X44" s="106"/>
      <x:c r="Y44" s="106"/>
      <x:c r="Z44" s="106"/>
    </x:row>
    <x:row r="45">
      <x:c r="A45" s="106"/>
      <x:c r="B45" s="106"/>
      <x:c r="C45" s="106"/>
      <x:c r="D45" s="106"/>
      <x:c r="E45" s="106"/>
      <x:c r="F45" s="106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106"/>
      <x:c r="Q45" s="106"/>
      <x:c r="R45" s="106"/>
      <x:c r="S45" s="106"/>
      <x:c r="T45" s="106"/>
      <x:c r="U45" s="106"/>
      <x:c r="V45" s="106"/>
      <x:c r="W45" s="106"/>
      <x:c r="X45" s="106"/>
      <x:c r="Y45" s="106"/>
      <x:c r="Z45" s="106"/>
    </x:row>
    <x:row r="46">
      <x:c r="A46" s="106"/>
      <x:c r="B46" s="106"/>
      <x:c r="C46" s="106"/>
      <x:c r="D46" s="106"/>
      <x:c r="E46" s="106"/>
      <x:c r="F46" s="106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106"/>
      <x:c r="Q46" s="106"/>
      <x:c r="R46" s="106"/>
      <x:c r="S46" s="106"/>
      <x:c r="T46" s="106"/>
      <x:c r="U46" s="106"/>
      <x:c r="V46" s="106"/>
      <x:c r="W46" s="106"/>
      <x:c r="X46" s="106"/>
      <x:c r="Y46" s="106"/>
      <x:c r="Z46" s="106"/>
    </x:row>
    <x:row r="47">
      <x:c r="A47" s="106"/>
      <x:c r="B47" s="106"/>
      <x:c r="C47" s="106"/>
      <x:c r="D47" s="106"/>
      <x:c r="E47" s="106"/>
      <x:c r="F47" s="106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106"/>
      <x:c r="Q47" s="106"/>
      <x:c r="R47" s="106"/>
      <x:c r="S47" s="106"/>
      <x:c r="T47" s="106"/>
      <x:c r="U47" s="106"/>
      <x:c r="V47" s="106"/>
      <x:c r="W47" s="106"/>
      <x:c r="X47" s="106"/>
      <x:c r="Y47" s="106"/>
      <x:c r="Z47" s="106"/>
    </x:row>
    <x:row r="48">
      <x:c r="A48" s="106"/>
      <x:c r="B48" s="106"/>
      <x:c r="C48" s="106"/>
      <x:c r="D48" s="106"/>
      <x:c r="E48" s="106"/>
      <x:c r="F48" s="106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106"/>
      <x:c r="Q48" s="106"/>
      <x:c r="R48" s="106"/>
      <x:c r="S48" s="106"/>
      <x:c r="T48" s="106"/>
      <x:c r="U48" s="106"/>
      <x:c r="V48" s="106"/>
      <x:c r="W48" s="106"/>
      <x:c r="X48" s="106"/>
      <x:c r="Y48" s="106"/>
      <x:c r="Z48" s="106"/>
    </x:row>
    <x:row r="49">
      <x:c r="A49" s="106"/>
      <x:c r="B49" s="106"/>
      <x:c r="C49" s="106"/>
      <x:c r="D49" s="106"/>
      <x:c r="E49" s="106"/>
      <x:c r="F49" s="106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106"/>
      <x:c r="Q49" s="106"/>
      <x:c r="R49" s="106"/>
      <x:c r="S49" s="106"/>
      <x:c r="T49" s="106"/>
      <x:c r="U49" s="106"/>
      <x:c r="V49" s="106"/>
      <x:c r="W49" s="106"/>
      <x:c r="X49" s="106"/>
      <x:c r="Y49" s="106"/>
      <x:c r="Z49" s="106"/>
    </x:row>
    <x:row r="50">
      <x:c r="A50" s="106"/>
      <x:c r="B50" s="106"/>
      <x:c r="C50" s="106"/>
      <x:c r="D50" s="106"/>
      <x:c r="E50" s="106"/>
      <x:c r="F50" s="106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106"/>
      <x:c r="Q50" s="106"/>
      <x:c r="R50" s="106"/>
      <x:c r="S50" s="106"/>
      <x:c r="T50" s="106"/>
      <x:c r="U50" s="106"/>
      <x:c r="V50" s="106"/>
      <x:c r="W50" s="106"/>
      <x:c r="X50" s="106"/>
      <x:c r="Y50" s="106"/>
      <x:c r="Z50" s="106"/>
    </x:row>
    <x:row r="51">
      <x:c r="A51" s="106"/>
      <x:c r="B51" s="106"/>
      <x:c r="C51" s="106"/>
      <x:c r="D51" s="106"/>
      <x:c r="E51" s="106"/>
      <x:c r="F51" s="106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106"/>
      <x:c r="Q51" s="106"/>
      <x:c r="R51" s="106"/>
      <x:c r="S51" s="106"/>
      <x:c r="T51" s="106"/>
      <x:c r="U51" s="106"/>
      <x:c r="V51" s="106"/>
      <x:c r="W51" s="106"/>
      <x:c r="X51" s="106"/>
      <x:c r="Y51" s="106"/>
      <x:c r="Z51" s="106"/>
    </x:row>
    <x:row r="52">
      <x:c r="A52" s="106"/>
      <x:c r="B52" s="106"/>
      <x:c r="C52" s="106"/>
      <x:c r="D52" s="106"/>
      <x:c r="E52" s="106"/>
      <x:c r="F52" s="106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106"/>
      <x:c r="Q52" s="106"/>
      <x:c r="R52" s="106"/>
      <x:c r="S52" s="106"/>
      <x:c r="T52" s="106"/>
      <x:c r="U52" s="106"/>
      <x:c r="V52" s="106"/>
      <x:c r="W52" s="106"/>
      <x:c r="X52" s="106"/>
      <x:c r="Y52" s="106"/>
      <x:c r="Z52" s="106"/>
    </x:row>
    <x:row r="53">
      <x:c r="A53" s="106"/>
      <x:c r="B53" s="106"/>
      <x:c r="C53" s="106"/>
      <x:c r="D53" s="106"/>
      <x:c r="E53" s="106"/>
      <x:c r="F53" s="106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106"/>
      <x:c r="Q53" s="106"/>
      <x:c r="R53" s="106"/>
      <x:c r="S53" s="106"/>
      <x:c r="T53" s="106"/>
      <x:c r="U53" s="106"/>
      <x:c r="V53" s="106"/>
      <x:c r="W53" s="106"/>
      <x:c r="X53" s="106"/>
      <x:c r="Y53" s="106"/>
      <x:c r="Z53" s="106"/>
    </x:row>
    <x:row r="54">
      <x:c r="A54" s="106"/>
      <x:c r="B54" s="106"/>
      <x:c r="C54" s="106"/>
      <x:c r="D54" s="106"/>
      <x:c r="E54" s="106"/>
      <x:c r="F54" s="106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106"/>
      <x:c r="Q54" s="106"/>
      <x:c r="R54" s="106"/>
      <x:c r="S54" s="106"/>
      <x:c r="T54" s="106"/>
      <x:c r="U54" s="106"/>
      <x:c r="V54" s="106"/>
      <x:c r="W54" s="106"/>
      <x:c r="X54" s="106"/>
      <x:c r="Y54" s="106"/>
      <x:c r="Z54" s="106"/>
    </x:row>
    <x:row r="55">
      <x:c r="A55" s="106"/>
      <x:c r="B55" s="106"/>
      <x:c r="C55" s="106"/>
      <x:c r="D55" s="106"/>
      <x:c r="E55" s="106"/>
      <x:c r="F55" s="106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106"/>
      <x:c r="Q55" s="106"/>
      <x:c r="R55" s="106"/>
      <x:c r="S55" s="106"/>
      <x:c r="T55" s="106"/>
      <x:c r="U55" s="106"/>
      <x:c r="V55" s="106"/>
      <x:c r="W55" s="106"/>
      <x:c r="X55" s="106"/>
      <x:c r="Y55" s="106"/>
      <x:c r="Z55" s="106"/>
    </x:row>
    <x:row r="56">
      <x:c r="A56" s="106"/>
      <x:c r="B56" s="106"/>
      <x:c r="C56" s="106"/>
      <x:c r="D56" s="106"/>
      <x:c r="E56" s="106"/>
      <x:c r="F56" s="106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106"/>
      <x:c r="Q56" s="106"/>
      <x:c r="R56" s="106"/>
      <x:c r="S56" s="106"/>
      <x:c r="T56" s="106"/>
      <x:c r="U56" s="106"/>
      <x:c r="V56" s="106"/>
      <x:c r="W56" s="106"/>
      <x:c r="X56" s="106"/>
      <x:c r="Y56" s="106"/>
      <x:c r="Z56" s="106"/>
    </x:row>
    <x:row r="57">
      <x:c r="A57" s="106"/>
      <x:c r="B57" s="106"/>
      <x:c r="C57" s="106"/>
      <x:c r="D57" s="106"/>
      <x:c r="E57" s="106"/>
      <x:c r="F57" s="106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106"/>
      <x:c r="Q57" s="106"/>
      <x:c r="R57" s="106"/>
      <x:c r="S57" s="106"/>
      <x:c r="T57" s="106"/>
      <x:c r="U57" s="106"/>
      <x:c r="V57" s="106"/>
      <x:c r="W57" s="106"/>
      <x:c r="X57" s="106"/>
      <x:c r="Y57" s="106"/>
      <x:c r="Z57" s="106"/>
    </x:row>
    <x:row r="58">
      <x:c r="A58" s="106"/>
      <x:c r="B58" s="106"/>
      <x:c r="C58" s="106"/>
      <x:c r="D58" s="106"/>
      <x:c r="E58" s="106"/>
      <x:c r="F58" s="106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106"/>
      <x:c r="Q58" s="106"/>
      <x:c r="R58" s="106"/>
      <x:c r="S58" s="106"/>
      <x:c r="T58" s="106"/>
      <x:c r="U58" s="106"/>
      <x:c r="V58" s="106"/>
      <x:c r="W58" s="106"/>
      <x:c r="X58" s="106"/>
      <x:c r="Y58" s="106"/>
      <x:c r="Z58" s="106"/>
    </x:row>
    <x:row r="59">
      <x:c r="A59" s="106"/>
      <x:c r="B59" s="106"/>
      <x:c r="C59" s="106"/>
      <x:c r="D59" s="106"/>
      <x:c r="E59" s="106"/>
      <x:c r="F59" s="106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106"/>
      <x:c r="Q59" s="106"/>
      <x:c r="R59" s="106"/>
      <x:c r="S59" s="106"/>
      <x:c r="T59" s="106"/>
      <x:c r="U59" s="106"/>
      <x:c r="V59" s="106"/>
      <x:c r="W59" s="106"/>
      <x:c r="X59" s="106"/>
      <x:c r="Y59" s="106"/>
      <x:c r="Z59" s="106"/>
    </x:row>
    <x:row r="60">
      <x:c r="A60" s="106"/>
      <x:c r="B60" s="106"/>
      <x:c r="C60" s="106"/>
      <x:c r="D60" s="106"/>
      <x:c r="E60" s="106"/>
      <x:c r="F60" s="106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106"/>
      <x:c r="Q60" s="106"/>
      <x:c r="R60" s="106"/>
      <x:c r="S60" s="106"/>
      <x:c r="T60" s="106"/>
      <x:c r="U60" s="106"/>
      <x:c r="V60" s="106"/>
      <x:c r="W60" s="106"/>
      <x:c r="X60" s="106"/>
      <x:c r="Y60" s="106"/>
      <x:c r="Z60" s="106"/>
    </x:row>
    <x:row r="61">
      <x:c r="A61" s="106"/>
      <x:c r="B61" s="106"/>
      <x:c r="C61" s="106"/>
      <x:c r="D61" s="106"/>
      <x:c r="E61" s="106"/>
      <x:c r="F61" s="106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106"/>
      <x:c r="Q61" s="106"/>
      <x:c r="R61" s="106"/>
      <x:c r="S61" s="106"/>
      <x:c r="T61" s="106"/>
      <x:c r="U61" s="106"/>
      <x:c r="V61" s="106"/>
      <x:c r="W61" s="106"/>
      <x:c r="X61" s="106"/>
      <x:c r="Y61" s="106"/>
      <x:c r="Z61" s="106"/>
    </x:row>
    <x:row r="62">
      <x:c r="A62" s="106"/>
      <x:c r="B62" s="106"/>
      <x:c r="C62" s="106"/>
      <x:c r="D62" s="106"/>
      <x:c r="E62" s="106"/>
      <x:c r="F62" s="106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106"/>
      <x:c r="Q62" s="106"/>
      <x:c r="R62" s="106"/>
      <x:c r="S62" s="106"/>
      <x:c r="T62" s="106"/>
      <x:c r="U62" s="106"/>
      <x:c r="V62" s="106"/>
      <x:c r="W62" s="106"/>
      <x:c r="X62" s="106"/>
      <x:c r="Y62" s="106"/>
      <x:c r="Z62" s="106"/>
    </x:row>
    <x:row r="63">
      <x:c r="A63" s="106"/>
      <x:c r="B63" s="106"/>
      <x:c r="C63" s="106"/>
      <x:c r="D63" s="106"/>
      <x:c r="E63" s="106"/>
      <x:c r="F63" s="106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106"/>
      <x:c r="Q63" s="106"/>
      <x:c r="R63" s="106"/>
      <x:c r="S63" s="106"/>
      <x:c r="T63" s="106"/>
      <x:c r="U63" s="106"/>
      <x:c r="V63" s="106"/>
      <x:c r="W63" s="106"/>
      <x:c r="X63" s="106"/>
      <x:c r="Y63" s="106"/>
      <x:c r="Z63" s="106"/>
    </x:row>
    <x:row r="64">
      <x:c r="A64" s="106"/>
      <x:c r="B64" s="106"/>
      <x:c r="C64" s="106"/>
      <x:c r="D64" s="106"/>
      <x:c r="E64" s="106"/>
      <x:c r="F64" s="106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106"/>
      <x:c r="Q64" s="106"/>
      <x:c r="R64" s="106"/>
      <x:c r="S64" s="106"/>
      <x:c r="T64" s="106"/>
      <x:c r="U64" s="106"/>
      <x:c r="V64" s="106"/>
      <x:c r="W64" s="106"/>
      <x:c r="X64" s="106"/>
      <x:c r="Y64" s="106"/>
      <x:c r="Z64" s="106"/>
    </x:row>
    <x:row r="65">
      <x:c r="A65" s="106"/>
      <x:c r="B65" s="106"/>
      <x:c r="C65" s="106"/>
      <x:c r="D65" s="106"/>
      <x:c r="E65" s="106"/>
      <x:c r="F65" s="106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106"/>
      <x:c r="Q65" s="106"/>
      <x:c r="R65" s="106"/>
      <x:c r="S65" s="106"/>
      <x:c r="T65" s="106"/>
      <x:c r="U65" s="106"/>
      <x:c r="V65" s="106"/>
      <x:c r="W65" s="106"/>
      <x:c r="X65" s="106"/>
      <x:c r="Y65" s="106"/>
      <x:c r="Z65" s="106"/>
    </x:row>
    <x:row r="66">
      <x:c r="A66" s="106"/>
      <x:c r="B66" s="106"/>
      <x:c r="C66" s="106"/>
      <x:c r="D66" s="106"/>
      <x:c r="E66" s="106"/>
      <x:c r="F66" s="106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106"/>
      <x:c r="Q66" s="106"/>
      <x:c r="R66" s="106"/>
      <x:c r="S66" s="106"/>
      <x:c r="T66" s="106"/>
      <x:c r="U66" s="106"/>
      <x:c r="V66" s="106"/>
      <x:c r="W66" s="106"/>
      <x:c r="X66" s="106"/>
      <x:c r="Y66" s="106"/>
      <x:c r="Z66" s="106"/>
    </x:row>
    <x:row r="67">
      <x:c r="A67" s="106"/>
      <x:c r="B67" s="106"/>
      <x:c r="C67" s="106"/>
      <x:c r="D67" s="106"/>
      <x:c r="E67" s="106"/>
      <x:c r="F67" s="106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106"/>
      <x:c r="Q67" s="106"/>
      <x:c r="R67" s="106"/>
      <x:c r="S67" s="106"/>
      <x:c r="T67" s="106"/>
      <x:c r="U67" s="106"/>
      <x:c r="V67" s="106"/>
      <x:c r="W67" s="106"/>
      <x:c r="X67" s="106"/>
      <x:c r="Y67" s="106"/>
      <x:c r="Z67" s="106"/>
    </x:row>
    <x:row r="68">
      <x:c r="A68" s="106"/>
      <x:c r="B68" s="106"/>
      <x:c r="C68" s="106"/>
      <x:c r="D68" s="106"/>
      <x:c r="E68" s="106"/>
      <x:c r="F68" s="106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106"/>
      <x:c r="Q68" s="106"/>
      <x:c r="R68" s="106"/>
      <x:c r="S68" s="106"/>
      <x:c r="T68" s="106"/>
      <x:c r="U68" s="106"/>
      <x:c r="V68" s="106"/>
      <x:c r="W68" s="106"/>
      <x:c r="X68" s="106"/>
      <x:c r="Y68" s="106"/>
      <x:c r="Z68" s="106"/>
    </x:row>
    <x:row r="69">
      <x:c r="A69" s="106"/>
      <x:c r="B69" s="106"/>
      <x:c r="C69" s="106"/>
      <x:c r="D69" s="106"/>
      <x:c r="E69" s="106"/>
      <x:c r="F69" s="106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106"/>
      <x:c r="Q69" s="106"/>
      <x:c r="R69" s="106"/>
      <x:c r="S69" s="106"/>
      <x:c r="T69" s="106"/>
      <x:c r="U69" s="106"/>
      <x:c r="V69" s="106"/>
      <x:c r="W69" s="106"/>
      <x:c r="X69" s="106"/>
      <x:c r="Y69" s="106"/>
      <x:c r="Z69" s="106"/>
    </x:row>
    <x:row r="70">
      <x:c r="A70" s="106"/>
      <x:c r="B70" s="106"/>
      <x:c r="C70" s="106"/>
      <x:c r="D70" s="106"/>
      <x:c r="E70" s="106"/>
      <x:c r="F70" s="106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106"/>
      <x:c r="Q70" s="106"/>
      <x:c r="R70" s="106"/>
      <x:c r="S70" s="106"/>
      <x:c r="T70" s="106"/>
      <x:c r="U70" s="106"/>
      <x:c r="V70" s="106"/>
      <x:c r="W70" s="106"/>
      <x:c r="X70" s="106"/>
      <x:c r="Y70" s="106"/>
      <x:c r="Z70" s="106"/>
    </x:row>
    <x:row r="71">
      <x:c r="A71" s="106"/>
      <x:c r="B71" s="106"/>
      <x:c r="C71" s="106"/>
      <x:c r="D71" s="106"/>
      <x:c r="E71" s="106"/>
      <x:c r="F71" s="106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106"/>
      <x:c r="Q71" s="106"/>
      <x:c r="R71" s="106"/>
      <x:c r="S71" s="106"/>
      <x:c r="T71" s="106"/>
      <x:c r="U71" s="106"/>
      <x:c r="V71" s="106"/>
      <x:c r="W71" s="106"/>
      <x:c r="X71" s="106"/>
      <x:c r="Y71" s="106"/>
      <x:c r="Z71" s="106"/>
    </x:row>
    <x:row r="72">
      <x:c r="A72" s="106"/>
      <x:c r="B72" s="106"/>
      <x:c r="C72" s="106"/>
      <x:c r="D72" s="106"/>
      <x:c r="E72" s="106"/>
      <x:c r="F72" s="106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106"/>
      <x:c r="Q72" s="106"/>
      <x:c r="R72" s="106"/>
      <x:c r="S72" s="106"/>
      <x:c r="T72" s="106"/>
      <x:c r="U72" s="106"/>
      <x:c r="V72" s="106"/>
      <x:c r="W72" s="106"/>
      <x:c r="X72" s="106"/>
      <x:c r="Y72" s="106"/>
      <x:c r="Z72" s="106"/>
    </x:row>
    <x:row r="73">
      <x:c r="A73" s="106"/>
      <x:c r="B73" s="106"/>
      <x:c r="C73" s="106"/>
      <x:c r="D73" s="106"/>
      <x:c r="E73" s="106"/>
      <x:c r="F73" s="106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106"/>
      <x:c r="Q73" s="106"/>
      <x:c r="R73" s="106"/>
      <x:c r="S73" s="106"/>
      <x:c r="T73" s="106"/>
      <x:c r="U73" s="106"/>
      <x:c r="V73" s="106"/>
      <x:c r="W73" s="106"/>
      <x:c r="X73" s="106"/>
      <x:c r="Y73" s="106"/>
      <x:c r="Z73" s="106"/>
    </x:row>
    <x:row r="74">
      <x:c r="A74" s="106"/>
      <x:c r="B74" s="106"/>
      <x:c r="C74" s="106"/>
      <x:c r="D74" s="106"/>
      <x:c r="E74" s="106"/>
      <x:c r="F74" s="106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106"/>
      <x:c r="Q74" s="106"/>
      <x:c r="R74" s="106"/>
      <x:c r="S74" s="106"/>
      <x:c r="T74" s="106"/>
      <x:c r="U74" s="106"/>
      <x:c r="V74" s="106"/>
      <x:c r="W74" s="106"/>
      <x:c r="X74" s="106"/>
      <x:c r="Y74" s="106"/>
      <x:c r="Z74" s="106"/>
    </x:row>
    <x:row r="75">
      <x:c r="A75" s="106"/>
      <x:c r="B75" s="106"/>
      <x:c r="C75" s="106"/>
      <x:c r="D75" s="106"/>
      <x:c r="E75" s="106"/>
      <x:c r="F75" s="106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106"/>
      <x:c r="Q75" s="106"/>
      <x:c r="R75" s="106"/>
      <x:c r="S75" s="106"/>
      <x:c r="T75" s="106"/>
      <x:c r="U75" s="106"/>
      <x:c r="V75" s="106"/>
      <x:c r="W75" s="106"/>
      <x:c r="X75" s="106"/>
      <x:c r="Y75" s="106"/>
      <x:c r="Z75" s="106"/>
    </x:row>
    <x:row r="76">
      <x:c r="A76" s="106"/>
      <x:c r="B76" s="106"/>
      <x:c r="C76" s="106"/>
      <x:c r="D76" s="106"/>
      <x:c r="E76" s="106"/>
      <x:c r="F76" s="106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106"/>
      <x:c r="Q76" s="106"/>
      <x:c r="R76" s="106"/>
      <x:c r="S76" s="106"/>
      <x:c r="T76" s="106"/>
      <x:c r="U76" s="106"/>
      <x:c r="V76" s="106"/>
      <x:c r="W76" s="106"/>
      <x:c r="X76" s="106"/>
      <x:c r="Y76" s="106"/>
      <x:c r="Z76" s="106"/>
    </x:row>
    <x:row r="77">
      <x:c r="A77" s="106"/>
      <x:c r="B77" s="106"/>
      <x:c r="C77" s="106"/>
      <x:c r="D77" s="106"/>
      <x:c r="E77" s="106"/>
      <x:c r="F77" s="106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106"/>
      <x:c r="Q77" s="106"/>
      <x:c r="R77" s="106"/>
      <x:c r="S77" s="106"/>
      <x:c r="T77" s="106"/>
      <x:c r="U77" s="106"/>
      <x:c r="V77" s="106"/>
      <x:c r="W77" s="106"/>
      <x:c r="X77" s="106"/>
      <x:c r="Y77" s="106"/>
      <x:c r="Z77" s="106"/>
    </x:row>
    <x:row r="78">
      <x:c r="A78" s="106"/>
      <x:c r="B78" s="106"/>
      <x:c r="C78" s="106"/>
      <x:c r="D78" s="106"/>
      <x:c r="E78" s="106"/>
      <x:c r="F78" s="106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106"/>
      <x:c r="Q78" s="106"/>
      <x:c r="R78" s="106"/>
      <x:c r="S78" s="106"/>
      <x:c r="T78" s="106"/>
      <x:c r="U78" s="106"/>
      <x:c r="V78" s="106"/>
      <x:c r="W78" s="106"/>
      <x:c r="X78" s="106"/>
      <x:c r="Y78" s="106"/>
      <x:c r="Z78" s="106"/>
    </x:row>
    <x:row r="79">
      <x:c r="A79" s="106"/>
      <x:c r="B79" s="106"/>
      <x:c r="C79" s="106"/>
      <x:c r="D79" s="106"/>
      <x:c r="E79" s="106"/>
      <x:c r="F79" s="106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106"/>
      <x:c r="Q79" s="106"/>
      <x:c r="R79" s="106"/>
      <x:c r="S79" s="106"/>
      <x:c r="T79" s="106"/>
      <x:c r="U79" s="106"/>
      <x:c r="V79" s="106"/>
      <x:c r="W79" s="106"/>
      <x:c r="X79" s="106"/>
      <x:c r="Y79" s="106"/>
      <x:c r="Z79" s="106"/>
    </x:row>
    <x:row r="80">
      <x:c r="A80" s="106"/>
      <x:c r="B80" s="106"/>
      <x:c r="C80" s="106"/>
      <x:c r="D80" s="106"/>
      <x:c r="E80" s="106"/>
      <x:c r="F80" s="106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106"/>
      <x:c r="Q80" s="106"/>
      <x:c r="R80" s="106"/>
      <x:c r="S80" s="106"/>
      <x:c r="T80" s="106"/>
      <x:c r="U80" s="106"/>
      <x:c r="V80" s="106"/>
      <x:c r="W80" s="106"/>
      <x:c r="X80" s="106"/>
      <x:c r="Y80" s="106"/>
      <x:c r="Z80" s="106"/>
    </x:row>
    <x:row r="81">
      <x:c r="A81" s="106"/>
      <x:c r="B81" s="106"/>
      <x:c r="C81" s="106"/>
      <x:c r="D81" s="106"/>
      <x:c r="E81" s="106"/>
      <x:c r="F81" s="106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106"/>
      <x:c r="Q81" s="106"/>
      <x:c r="R81" s="106"/>
      <x:c r="S81" s="106"/>
      <x:c r="T81" s="106"/>
      <x:c r="U81" s="106"/>
      <x:c r="V81" s="106"/>
      <x:c r="W81" s="106"/>
      <x:c r="X81" s="106"/>
      <x:c r="Y81" s="106"/>
      <x:c r="Z81" s="106"/>
    </x:row>
    <x:row r="82">
      <x:c r="A82" s="106"/>
      <x:c r="B82" s="106"/>
      <x:c r="C82" s="106"/>
      <x:c r="D82" s="106"/>
      <x:c r="E82" s="106"/>
      <x:c r="F82" s="106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106"/>
      <x:c r="Q82" s="106"/>
      <x:c r="R82" s="106"/>
      <x:c r="S82" s="106"/>
      <x:c r="T82" s="106"/>
      <x:c r="U82" s="106"/>
      <x:c r="V82" s="106"/>
      <x:c r="W82" s="106"/>
      <x:c r="X82" s="106"/>
      <x:c r="Y82" s="106"/>
      <x:c r="Z82" s="106"/>
    </x:row>
    <x:row r="83">
      <x:c r="A83" s="106"/>
      <x:c r="B83" s="106"/>
      <x:c r="C83" s="106"/>
      <x:c r="D83" s="106"/>
      <x:c r="E83" s="106"/>
      <x:c r="F83" s="106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106"/>
      <x:c r="Q83" s="106"/>
      <x:c r="R83" s="106"/>
      <x:c r="S83" s="106"/>
      <x:c r="T83" s="106"/>
      <x:c r="U83" s="106"/>
      <x:c r="V83" s="106"/>
      <x:c r="W83" s="106"/>
      <x:c r="X83" s="106"/>
      <x:c r="Y83" s="106"/>
      <x:c r="Z83" s="106"/>
    </x:row>
    <x:row r="84">
      <x:c r="A84" s="106"/>
      <x:c r="B84" s="106"/>
      <x:c r="C84" s="106"/>
      <x:c r="D84" s="106"/>
      <x:c r="E84" s="106"/>
      <x:c r="F84" s="106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106"/>
      <x:c r="Q84" s="106"/>
      <x:c r="R84" s="106"/>
      <x:c r="S84" s="106"/>
      <x:c r="T84" s="106"/>
      <x:c r="U84" s="106"/>
      <x:c r="V84" s="106"/>
      <x:c r="W84" s="106"/>
      <x:c r="X84" s="106"/>
      <x:c r="Y84" s="106"/>
      <x:c r="Z84" s="106"/>
    </x:row>
    <x:row r="85">
      <x:c r="A85" s="106"/>
      <x:c r="B85" s="106"/>
      <x:c r="C85" s="106"/>
      <x:c r="D85" s="106"/>
      <x:c r="E85" s="106"/>
      <x:c r="F85" s="106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106"/>
      <x:c r="Q85" s="106"/>
      <x:c r="R85" s="106"/>
      <x:c r="S85" s="106"/>
      <x:c r="T85" s="106"/>
      <x:c r="U85" s="106"/>
      <x:c r="V85" s="106"/>
      <x:c r="W85" s="106"/>
      <x:c r="X85" s="106"/>
      <x:c r="Y85" s="106"/>
      <x:c r="Z85" s="106"/>
    </x:row>
    <x:row r="86">
      <x:c r="A86" s="106"/>
      <x:c r="B86" s="106"/>
      <x:c r="C86" s="106"/>
      <x:c r="D86" s="106"/>
      <x:c r="E86" s="106"/>
      <x:c r="F86" s="106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106"/>
      <x:c r="Q86" s="106"/>
      <x:c r="R86" s="106"/>
      <x:c r="S86" s="106"/>
      <x:c r="T86" s="106"/>
      <x:c r="U86" s="106"/>
      <x:c r="V86" s="106"/>
      <x:c r="W86" s="106"/>
      <x:c r="X86" s="106"/>
      <x:c r="Y86" s="106"/>
      <x:c r="Z86" s="106"/>
    </x:row>
    <x:row r="87">
      <x:c r="A87" s="106"/>
      <x:c r="B87" s="106"/>
      <x:c r="C87" s="106"/>
      <x:c r="D87" s="106"/>
      <x:c r="E87" s="106"/>
      <x:c r="F87" s="106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106"/>
      <x:c r="Q87" s="106"/>
      <x:c r="R87" s="106"/>
      <x:c r="S87" s="106"/>
      <x:c r="T87" s="106"/>
      <x:c r="U87" s="106"/>
      <x:c r="V87" s="106"/>
      <x:c r="W87" s="106"/>
      <x:c r="X87" s="106"/>
      <x:c r="Y87" s="106"/>
      <x:c r="Z87" s="106"/>
    </x:row>
    <x:row r="88">
      <x:c r="A88" s="106"/>
      <x:c r="B88" s="106"/>
      <x:c r="C88" s="106"/>
      <x:c r="D88" s="106"/>
      <x:c r="E88" s="106"/>
      <x:c r="F88" s="106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106"/>
      <x:c r="Q88" s="106"/>
      <x:c r="R88" s="106"/>
      <x:c r="S88" s="106"/>
      <x:c r="T88" s="106"/>
      <x:c r="U88" s="106"/>
      <x:c r="V88" s="106"/>
      <x:c r="W88" s="106"/>
      <x:c r="X88" s="106"/>
      <x:c r="Y88" s="106"/>
      <x:c r="Z88" s="106"/>
    </x:row>
    <x:row r="89">
      <x:c r="A89" s="106"/>
      <x:c r="B89" s="106"/>
      <x:c r="C89" s="106"/>
      <x:c r="D89" s="106"/>
      <x:c r="E89" s="106"/>
      <x:c r="F89" s="106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106"/>
      <x:c r="Q89" s="106"/>
      <x:c r="R89" s="106"/>
      <x:c r="S89" s="106"/>
      <x:c r="T89" s="106"/>
      <x:c r="U89" s="106"/>
      <x:c r="V89" s="106"/>
      <x:c r="W89" s="106"/>
      <x:c r="X89" s="106"/>
      <x:c r="Y89" s="106"/>
      <x:c r="Z89" s="106"/>
    </x:row>
    <x:row r="90">
      <x:c r="A90" s="106"/>
      <x:c r="B90" s="106"/>
      <x:c r="C90" s="106"/>
      <x:c r="D90" s="106"/>
      <x:c r="E90" s="106"/>
      <x:c r="F90" s="106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106"/>
      <x:c r="Q90" s="106"/>
      <x:c r="R90" s="106"/>
      <x:c r="S90" s="106"/>
      <x:c r="T90" s="106"/>
      <x:c r="U90" s="106"/>
      <x:c r="V90" s="106"/>
      <x:c r="W90" s="106"/>
      <x:c r="X90" s="106"/>
      <x:c r="Y90" s="106"/>
      <x:c r="Z90" s="106"/>
    </x:row>
    <x:row r="91">
      <x:c r="A91" s="106"/>
      <x:c r="B91" s="106"/>
      <x:c r="C91" s="106"/>
      <x:c r="D91" s="106"/>
      <x:c r="E91" s="106"/>
      <x:c r="F91" s="106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106"/>
      <x:c r="Q91" s="106"/>
      <x:c r="R91" s="106"/>
      <x:c r="S91" s="106"/>
      <x:c r="T91" s="106"/>
      <x:c r="U91" s="106"/>
      <x:c r="V91" s="106"/>
      <x:c r="W91" s="106"/>
      <x:c r="X91" s="106"/>
      <x:c r="Y91" s="106"/>
      <x:c r="Z91" s="106"/>
    </x:row>
    <x:row r="92">
      <x:c r="A92" s="106"/>
      <x:c r="B92" s="106"/>
      <x:c r="C92" s="106"/>
      <x:c r="D92" s="106"/>
      <x:c r="E92" s="106"/>
      <x:c r="F92" s="106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106"/>
      <x:c r="Q92" s="106"/>
      <x:c r="R92" s="106"/>
      <x:c r="S92" s="106"/>
      <x:c r="T92" s="106"/>
      <x:c r="U92" s="106"/>
      <x:c r="V92" s="106"/>
      <x:c r="W92" s="106"/>
      <x:c r="X92" s="106"/>
      <x:c r="Y92" s="106"/>
      <x:c r="Z92" s="106"/>
    </x:row>
    <x:row r="93">
      <x:c r="A93" s="106"/>
      <x:c r="B93" s="106"/>
      <x:c r="C93" s="106"/>
      <x:c r="D93" s="106"/>
      <x:c r="E93" s="106"/>
      <x:c r="F93" s="106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106"/>
      <x:c r="Q93" s="106"/>
      <x:c r="R93" s="106"/>
      <x:c r="S93" s="106"/>
      <x:c r="T93" s="106"/>
      <x:c r="U93" s="106"/>
      <x:c r="V93" s="106"/>
      <x:c r="W93" s="106"/>
      <x:c r="X93" s="106"/>
      <x:c r="Y93" s="106"/>
      <x:c r="Z93" s="106"/>
    </x:row>
    <x:row r="94">
      <x:c r="A94" s="106"/>
      <x:c r="B94" s="106"/>
      <x:c r="C94" s="106"/>
      <x:c r="D94" s="106"/>
      <x:c r="E94" s="106"/>
      <x:c r="F94" s="106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106"/>
      <x:c r="Q94" s="106"/>
      <x:c r="R94" s="106"/>
      <x:c r="S94" s="106"/>
      <x:c r="T94" s="106"/>
      <x:c r="U94" s="106"/>
      <x:c r="V94" s="106"/>
      <x:c r="W94" s="106"/>
      <x:c r="X94" s="106"/>
      <x:c r="Y94" s="106"/>
      <x:c r="Z94" s="106"/>
    </x:row>
    <x:row r="95">
      <x:c r="A95" s="106"/>
      <x:c r="B95" s="106"/>
      <x:c r="C95" s="106"/>
      <x:c r="D95" s="106"/>
      <x:c r="E95" s="106"/>
      <x:c r="F95" s="106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106"/>
      <x:c r="Q95" s="106"/>
      <x:c r="R95" s="106"/>
      <x:c r="S95" s="106"/>
      <x:c r="T95" s="106"/>
      <x:c r="U95" s="106"/>
      <x:c r="V95" s="106"/>
      <x:c r="W95" s="106"/>
      <x:c r="X95" s="106"/>
      <x:c r="Y95" s="106"/>
      <x:c r="Z95" s="106"/>
    </x:row>
    <x:row r="96">
      <x:c r="A96" s="106"/>
      <x:c r="B96" s="106"/>
      <x:c r="C96" s="106"/>
      <x:c r="D96" s="106"/>
      <x:c r="E96" s="106"/>
      <x:c r="F96" s="106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106"/>
      <x:c r="Q96" s="106"/>
      <x:c r="R96" s="106"/>
      <x:c r="S96" s="106"/>
      <x:c r="T96" s="106"/>
      <x:c r="U96" s="106"/>
      <x:c r="V96" s="106"/>
      <x:c r="W96" s="106"/>
      <x:c r="X96" s="106"/>
      <x:c r="Y96" s="106"/>
      <x:c r="Z96" s="106"/>
    </x:row>
    <x:row r="97">
      <x:c r="A97" s="106"/>
      <x:c r="B97" s="106"/>
      <x:c r="C97" s="106"/>
      <x:c r="D97" s="106"/>
      <x:c r="E97" s="106"/>
      <x:c r="F97" s="106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106"/>
      <x:c r="Q97" s="106"/>
      <x:c r="R97" s="106"/>
      <x:c r="S97" s="106"/>
      <x:c r="T97" s="106"/>
      <x:c r="U97" s="106"/>
      <x:c r="V97" s="106"/>
      <x:c r="W97" s="106"/>
      <x:c r="X97" s="106"/>
      <x:c r="Y97" s="106"/>
      <x:c r="Z97" s="106"/>
    </x:row>
    <x:row r="98">
      <x:c r="A98" s="106"/>
      <x:c r="B98" s="106"/>
      <x:c r="C98" s="106"/>
      <x:c r="D98" s="106"/>
      <x:c r="E98" s="106"/>
      <x:c r="F98" s="106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106"/>
      <x:c r="Q98" s="106"/>
      <x:c r="R98" s="106"/>
      <x:c r="S98" s="106"/>
      <x:c r="T98" s="106"/>
      <x:c r="U98" s="106"/>
      <x:c r="V98" s="106"/>
      <x:c r="W98" s="106"/>
      <x:c r="X98" s="106"/>
      <x:c r="Y98" s="106"/>
      <x:c r="Z98" s="106"/>
    </x:row>
    <x:row r="99">
      <x:c r="A99" s="106"/>
      <x:c r="B99" s="106"/>
      <x:c r="C99" s="106"/>
      <x:c r="D99" s="106"/>
      <x:c r="E99" s="106"/>
      <x:c r="F99" s="106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106"/>
      <x:c r="Q99" s="106"/>
      <x:c r="R99" s="106"/>
      <x:c r="S99" s="106"/>
      <x:c r="T99" s="106"/>
      <x:c r="U99" s="106"/>
      <x:c r="V99" s="106"/>
      <x:c r="W99" s="106"/>
      <x:c r="X99" s="106"/>
      <x:c r="Y99" s="106"/>
      <x:c r="Z99" s="106"/>
    </x:row>
    <x:row r="100">
      <x:c r="A100" s="106"/>
      <x:c r="B100" s="106"/>
      <x:c r="C100" s="106"/>
      <x:c r="D100" s="106"/>
      <x:c r="E100" s="106"/>
      <x:c r="F100" s="106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106"/>
      <x:c r="Q100" s="106"/>
      <x:c r="R100" s="106"/>
      <x:c r="S100" s="106"/>
      <x:c r="T100" s="106"/>
      <x:c r="U100" s="106"/>
      <x:c r="V100" s="106"/>
      <x:c r="W100" s="106"/>
      <x:c r="X100" s="106"/>
      <x:c r="Y100" s="106"/>
      <x:c r="Z100" s="106"/>
    </x:row>
  </x:sheetData>
  <x:mergeCells>
    <x:mergeCell ref="A1:I1"/>
    <x:mergeCell ref="A2:I2"/>
    <x:mergeCell ref="A11:F1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2" hidden="0" customWidth="1"/>
    <x:col min="7" max="7" width="22" hidden="0" customWidth="1"/>
    <x:col min="8" max="8" width="18" hidden="0" customWidth="1"/>
  </x:cols>
  <x:sheetData>
    <x:row r="1" ht="30" customHeight="1">
      <x:c r="A1" s="117" t="str">
        <x:v>04. Labour &amp; F&amp;B Cost Bridges</x:v>
      </x:c>
      <x:c r="B1" s="117"/>
      <x:c r="C1" s="117"/>
      <x:c r="D1" s="117"/>
      <x:c r="E1" s="117"/>
      <x:c r="F1" s="117"/>
      <x:c r="G1" s="117"/>
      <x:c r="H1" s="117"/>
      <x:c r="I1" s="106"/>
      <x:c r="J1" s="106"/>
      <x:c r="K1" s="106"/>
      <x:c r="L1" s="106"/>
      <x:c r="M1" s="106"/>
      <x:c r="N1" s="106"/>
      <x:c r="O1" s="106"/>
      <x:c r="P1" s="106"/>
      <x:c r="Q1" s="106"/>
      <x:c r="R1" s="106"/>
      <x:c r="S1" s="106"/>
      <x:c r="T1" s="106"/>
      <x:c r="U1" s="106"/>
      <x:c r="V1" s="106"/>
      <x:c r="W1" s="106"/>
      <x:c r="X1" s="106"/>
      <x:c r="Y1" s="106"/>
      <x:c r="Z1" s="106"/>
    </x:row>
    <x:row r="2" ht="28" customHeight="1">
      <x:c r="A2" s="107" t="str">
        <x:v>Separates hours/volume effects from rate/efficiency effects.</x:v>
      </x:c>
      <x:c r="B2" s="107"/>
      <x:c r="C2" s="107"/>
      <x:c r="D2" s="107"/>
      <x:c r="E2" s="107"/>
      <x:c r="F2" s="107"/>
      <x:c r="G2" s="107"/>
      <x:c r="H2" s="107"/>
      <x:c r="I2" s="106"/>
      <x:c r="J2" s="106"/>
      <x:c r="K2" s="106"/>
      <x:c r="L2" s="106"/>
      <x:c r="M2" s="106"/>
      <x:c r="N2" s="106"/>
      <x:c r="O2" s="106"/>
      <x:c r="P2" s="106"/>
      <x:c r="Q2" s="106"/>
      <x:c r="R2" s="106"/>
      <x:c r="S2" s="106"/>
      <x:c r="T2" s="106"/>
      <x:c r="U2" s="106"/>
      <x:c r="V2" s="106"/>
      <x:c r="W2" s="106"/>
      <x:c r="X2" s="106"/>
      <x:c r="Y2" s="106"/>
      <x:c r="Z2" s="106"/>
    </x:row>
    <x:row r="3">
      <x:c r="A3" s="106"/>
      <x:c r="B3" s="106"/>
      <x:c r="C3" s="106"/>
      <x:c r="D3" s="106"/>
      <x:c r="E3" s="106"/>
      <x:c r="F3" s="106"/>
      <x:c r="G3" s="106"/>
      <x:c r="H3" s="106"/>
      <x:c r="I3" s="106"/>
      <x:c r="J3" s="106"/>
      <x:c r="K3" s="106"/>
      <x:c r="L3" s="106"/>
      <x:c r="M3" s="106"/>
      <x:c r="N3" s="106"/>
      <x:c r="O3" s="106"/>
      <x:c r="P3" s="106"/>
      <x:c r="Q3" s="106"/>
      <x:c r="R3" s="106"/>
      <x:c r="S3" s="106"/>
      <x:c r="T3" s="106"/>
      <x:c r="U3" s="106"/>
      <x:c r="V3" s="106"/>
      <x:c r="W3" s="106"/>
      <x:c r="X3" s="106"/>
      <x:c r="Y3" s="106"/>
      <x:c r="Z3" s="106"/>
    </x:row>
    <x:row r="4">
      <x:c r="A4" s="110" t="str">
        <x:v>Labour component</x:v>
      </x:c>
      <x:c r="B4" s="110" t="str">
        <x:v>Budget quantity</x:v>
      </x:c>
      <x:c r="C4" s="110" t="str">
        <x:v>Budget rate</x:v>
      </x:c>
      <x:c r="D4" s="110" t="str">
        <x:v>Actual quantity</x:v>
      </x:c>
      <x:c r="E4" s="110" t="str">
        <x:v>Actual rate</x:v>
      </x:c>
      <x:c r="F4" s="110" t="str">
        <x:v>Hours/volume effect</x:v>
      </x:c>
      <x:c r="G4" s="110" t="str">
        <x:v>Rate effect</x:v>
      </x:c>
      <x:c r="H4" s="110" t="str">
        <x:v>Total variance U</x:v>
      </x:c>
      <x:c r="I4" s="106"/>
      <x:c r="J4" s="106"/>
      <x:c r="K4" s="106"/>
      <x:c r="L4" s="106"/>
      <x:c r="M4" s="106"/>
      <x:c r="N4" s="106"/>
      <x:c r="O4" s="106"/>
      <x:c r="P4" s="106"/>
      <x:c r="Q4" s="106"/>
      <x:c r="R4" s="106"/>
      <x:c r="S4" s="106"/>
      <x:c r="T4" s="106"/>
      <x:c r="U4" s="106"/>
      <x:c r="V4" s="106"/>
      <x:c r="W4" s="106"/>
      <x:c r="X4" s="106"/>
      <x:c r="Y4" s="106"/>
      <x:c r="Z4" s="106"/>
    </x:row>
    <x:row r="5">
      <x:c r="A5" s="106" t="str">
        <x:v>Core labour</x:v>
      </x:c>
      <x:c r="B5" s="135" t="n">
        <x:f>'01_Inputs'!C16</x:f>
        <x:v>170000</x:v>
      </x:c>
      <x:c r="C5" s="136" t="n">
        <x:f>'01_Inputs'!C17</x:f>
        <x:v>40</x:v>
      </x:c>
      <x:c r="D5" s="135" t="n">
        <x:f>'01_Inputs'!D16</x:f>
        <x:v>174000</x:v>
      </x:c>
      <x:c r="E5" s="136" t="n">
        <x:f>'01_Inputs'!D17</x:f>
        <x:v>41</x:v>
      </x:c>
      <x:c r="F5" s="136" t="n">
        <x:f>(D5-B5)*C5</x:f>
        <x:v>160000</x:v>
      </x:c>
      <x:c r="G5" s="136" t="n">
        <x:f>D5*(E5-C5)</x:f>
        <x:v>174000</x:v>
      </x:c>
      <x:c r="H5" s="136" t="n">
        <x:f>F5+G5</x:f>
        <x:v>334000</x:v>
      </x:c>
      <x:c r="I5" s="106"/>
      <x:c r="J5" s="106"/>
      <x:c r="K5" s="106"/>
      <x:c r="L5" s="106"/>
      <x:c r="M5" s="106"/>
      <x:c r="N5" s="106"/>
      <x:c r="O5" s="106"/>
      <x:c r="P5" s="106"/>
      <x:c r="Q5" s="106"/>
      <x:c r="R5" s="106"/>
      <x:c r="S5" s="106"/>
      <x:c r="T5" s="106"/>
      <x:c r="U5" s="106"/>
      <x:c r="V5" s="106"/>
      <x:c r="W5" s="106"/>
      <x:c r="X5" s="106"/>
      <x:c r="Y5" s="106"/>
      <x:c r="Z5" s="106"/>
    </x:row>
    <x:row r="6">
      <x:c r="A6" s="106" t="str">
        <x:v>Overtime premium</x:v>
      </x:c>
      <x:c r="B6" s="135" t="n">
        <x:f>'01_Inputs'!C18</x:f>
        <x:v>2000</x:v>
      </x:c>
      <x:c r="C6" s="136" t="n">
        <x:f>'01_Inputs'!C19</x:f>
        <x:v>20</x:v>
      </x:c>
      <x:c r="D6" s="135" t="n">
        <x:f>'01_Inputs'!D18</x:f>
        <x:v>3400</x:v>
      </x:c>
      <x:c r="E6" s="136" t="n">
        <x:f>'01_Inputs'!D19</x:f>
        <x:v>22</x:v>
      </x:c>
      <x:c r="F6" s="136" t="n">
        <x:f>(D6-B6)*C6</x:f>
        <x:v>28000</x:v>
      </x:c>
      <x:c r="G6" s="136" t="n">
        <x:f>D6*(E6-C6)</x:f>
        <x:v>6800</x:v>
      </x:c>
      <x:c r="H6" s="136" t="n">
        <x:f>F6+G6</x:f>
        <x:v>34800</x:v>
      </x:c>
      <x:c r="I6" s="106"/>
      <x:c r="J6" s="106"/>
      <x:c r="K6" s="106"/>
      <x:c r="L6" s="106"/>
      <x:c r="M6" s="106"/>
      <x:c r="N6" s="106"/>
      <x:c r="O6" s="106"/>
      <x:c r="P6" s="106"/>
      <x:c r="Q6" s="106"/>
      <x:c r="R6" s="106"/>
      <x:c r="S6" s="106"/>
      <x:c r="T6" s="106"/>
      <x:c r="U6" s="106"/>
      <x:c r="V6" s="106"/>
      <x:c r="W6" s="106"/>
      <x:c r="X6" s="106"/>
      <x:c r="Y6" s="106"/>
      <x:c r="Z6" s="106"/>
    </x:row>
    <x:row r="7">
      <x:c r="A7" s="106" t="str">
        <x:v>Agency labour</x:v>
      </x:c>
      <x:c r="B7" s="135" t="n">
        <x:f>'01_Inputs'!C20</x:f>
        <x:v>10000</x:v>
      </x:c>
      <x:c r="C7" s="136" t="n">
        <x:f>'01_Inputs'!C21</x:f>
        <x:v>50</x:v>
      </x:c>
      <x:c r="D7" s="135" t="n">
        <x:f>'01_Inputs'!D20</x:f>
        <x:v>15200</x:v>
      </x:c>
      <x:c r="E7" s="136" t="n">
        <x:f>'01_Inputs'!D21</x:f>
        <x:v>60</x:v>
      </x:c>
      <x:c r="F7" s="136" t="n">
        <x:f>(D7-B7)*C7</x:f>
        <x:v>260000</x:v>
      </x:c>
      <x:c r="G7" s="136" t="n">
        <x:f>D7*(E7-C7)</x:f>
        <x:v>152000</x:v>
      </x:c>
      <x:c r="H7" s="136" t="n">
        <x:f>F7+G7</x:f>
        <x:v>412000</x:v>
      </x:c>
      <x:c r="I7" s="106"/>
      <x:c r="J7" s="106"/>
      <x:c r="K7" s="106"/>
      <x:c r="L7" s="106"/>
      <x:c r="M7" s="106"/>
      <x:c r="N7" s="106"/>
      <x:c r="O7" s="106"/>
      <x:c r="P7" s="106"/>
      <x:c r="Q7" s="106"/>
      <x:c r="R7" s="106"/>
      <x:c r="S7" s="106"/>
      <x:c r="T7" s="106"/>
      <x:c r="U7" s="106"/>
      <x:c r="V7" s="106"/>
      <x:c r="W7" s="106"/>
      <x:c r="X7" s="106"/>
      <x:c r="Y7" s="106"/>
      <x:c r="Z7" s="106"/>
    </x:row>
    <x:row r="8">
      <x:c r="A8" s="106" t="str">
        <x:v>Other labour</x:v>
      </x:c>
      <x:c r="B8" s="135"/>
      <x:c r="C8" s="135"/>
      <x:c r="D8" s="135"/>
      <x:c r="E8" s="135"/>
      <x:c r="F8" s="136"/>
      <x:c r="G8" s="136"/>
      <x:c r="H8" s="136" t="n">
        <x:f>'01_Inputs'!D22-'01_Inputs'!C22</x:f>
        <x:v>59200</x:v>
      </x:c>
      <x:c r="I8" s="106"/>
      <x:c r="J8" s="106"/>
      <x:c r="K8" s="106"/>
      <x:c r="L8" s="106"/>
      <x:c r="M8" s="106"/>
      <x:c r="N8" s="106"/>
      <x:c r="O8" s="106"/>
      <x:c r="P8" s="106"/>
      <x:c r="Q8" s="106"/>
      <x:c r="R8" s="106"/>
      <x:c r="S8" s="106"/>
      <x:c r="T8" s="106"/>
      <x:c r="U8" s="106"/>
      <x:c r="V8" s="106"/>
      <x:c r="W8" s="106"/>
      <x:c r="X8" s="106"/>
      <x:c r="Y8" s="106"/>
      <x:c r="Z8" s="106"/>
    </x:row>
    <x:row r="9">
      <x:c r="A9" s="129" t="str">
        <x:v>Total labour variance</x:v>
      </x:c>
      <x:c r="B9" s="138"/>
      <x:c r="C9" s="138"/>
      <x:c r="D9" s="138"/>
      <x:c r="E9" s="138"/>
      <x:c r="F9" s="139"/>
      <x:c r="G9" s="139"/>
      <x:c r="H9" s="139" t="n">
        <x:f>SUM(H5:H8)</x:f>
        <x:v>840000</x:v>
      </x:c>
      <x:c r="I9" s="106"/>
      <x:c r="J9" s="106"/>
      <x:c r="K9" s="106"/>
      <x:c r="L9" s="106"/>
      <x:c r="M9" s="106"/>
      <x:c r="N9" s="106"/>
      <x:c r="O9" s="106"/>
      <x:c r="P9" s="106"/>
      <x:c r="Q9" s="106"/>
      <x:c r="R9" s="106"/>
      <x:c r="S9" s="106"/>
      <x:c r="T9" s="106"/>
      <x:c r="U9" s="106"/>
      <x:c r="V9" s="106"/>
      <x:c r="W9" s="106"/>
      <x:c r="X9" s="106"/>
      <x:c r="Y9" s="106"/>
      <x:c r="Z9" s="106"/>
    </x:row>
    <x:row r="10">
      <x:c r="A10" s="106"/>
      <x:c r="B10" s="106"/>
      <x:c r="C10" s="106"/>
      <x:c r="D10" s="106"/>
      <x:c r="E10" s="106"/>
      <x:c r="F10" s="106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106"/>
      <x:c r="Q10" s="106"/>
      <x:c r="R10" s="106"/>
      <x:c r="S10" s="106"/>
      <x:c r="T10" s="106"/>
      <x:c r="U10" s="106"/>
      <x:c r="V10" s="106"/>
      <x:c r="W10" s="106"/>
      <x:c r="X10" s="106"/>
      <x:c r="Y10" s="106"/>
      <x:c r="Z10" s="106"/>
    </x:row>
    <x:row r="11">
      <x:c r="A11" s="106"/>
      <x:c r="B11" s="106"/>
      <x:c r="C11" s="106"/>
      <x:c r="D11" s="106"/>
      <x:c r="E11" s="106"/>
      <x:c r="F11" s="106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106"/>
      <x:c r="Q11" s="106"/>
      <x:c r="R11" s="106"/>
      <x:c r="S11" s="106"/>
      <x:c r="T11" s="106"/>
      <x:c r="U11" s="106"/>
      <x:c r="V11" s="106"/>
      <x:c r="W11" s="106"/>
      <x:c r="X11" s="106"/>
      <x:c r="Y11" s="106"/>
      <x:c r="Z11" s="106"/>
    </x:row>
    <x:row r="12">
      <x:c r="A12" s="108" t="str">
        <x:v>F&amp;B cost bridge</x:v>
      </x:c>
      <x:c r="B12" s="108"/>
      <x:c r="C12" s="108"/>
      <x:c r="D12" s="108"/>
      <x:c r="E12" s="108"/>
      <x:c r="F12" s="108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106"/>
      <x:c r="Q12" s="106"/>
      <x:c r="R12" s="106"/>
      <x:c r="S12" s="106"/>
      <x:c r="T12" s="106"/>
      <x:c r="U12" s="106"/>
      <x:c r="V12" s="106"/>
      <x:c r="W12" s="106"/>
      <x:c r="X12" s="106"/>
      <x:c r="Y12" s="106"/>
      <x:c r="Z12" s="106"/>
    </x:row>
    <x:row r="13">
      <x:c r="A13" s="110" t="str">
        <x:v>Metric</x:v>
      </x:c>
      <x:c r="B13" s="110" t="str">
        <x:v>Budget</x:v>
      </x:c>
      <x:c r="C13" s="110" t="str">
        <x:v>Actual</x:v>
      </x:c>
      <x:c r="D13" s="110" t="str">
        <x:v>Variance U</x:v>
      </x:c>
      <x:c r="E13" s="110" t="str">
        <x:v>Interpretation</x:v>
      </x:c>
      <x:c r="F13" s="110" t="str">
        <x:v>Control</x:v>
      </x:c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106"/>
      <x:c r="Q13" s="106"/>
      <x:c r="R13" s="106"/>
      <x:c r="S13" s="106"/>
      <x:c r="T13" s="106"/>
      <x:c r="U13" s="106"/>
      <x:c r="V13" s="106"/>
      <x:c r="W13" s="106"/>
      <x:c r="X13" s="106"/>
      <x:c r="Y13" s="106"/>
      <x:c r="Z13" s="106"/>
    </x:row>
    <x:row r="14">
      <x:c r="A14" s="106" t="str">
        <x:v>F&amp;B revenue</x:v>
      </x:c>
      <x:c r="B14" s="136" t="n">
        <x:f>'01_Inputs'!C14</x:f>
        <x:v>8000000</x:v>
      </x:c>
      <x:c r="C14" s="136" t="n">
        <x:f>'01_Inputs'!D14</x:f>
        <x:v>8400000</x:v>
      </x:c>
      <x:c r="D14" s="136" t="n">
        <x:f>(C14-B14)*'01_Inputs'!C23</x:f>
        <x:v>128000</x:v>
      </x:c>
      <x:c r="E14" s="106" t="str">
        <x:v>Higher activity increases expected direct cost</x:v>
      </x:c>
      <x:c r="F14" s="106" t="str">
        <x:v>Volume-adjust cost</x:v>
      </x:c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106"/>
      <x:c r="Q14" s="106"/>
      <x:c r="R14" s="106"/>
      <x:c r="S14" s="106"/>
      <x:c r="T14" s="106"/>
      <x:c r="U14" s="106"/>
      <x:c r="V14" s="106"/>
      <x:c r="W14" s="106"/>
      <x:c r="X14" s="106"/>
      <x:c r="Y14" s="106"/>
      <x:c r="Z14" s="106"/>
    </x:row>
    <x:row r="15">
      <x:c r="A15" s="106" t="str">
        <x:v>F&amp;B cost %</x:v>
      </x:c>
      <x:c r="B15" s="137" t="n">
        <x:f>'01_Inputs'!C23</x:f>
        <x:v>0.32</x:v>
      </x:c>
      <x:c r="C15" s="137" t="n">
        <x:f>'01_Inputs'!D23</x:f>
        <x:v>0.35</x:v>
      </x:c>
      <x:c r="D15" s="136" t="n">
        <x:f>'01_Inputs'!D14*(C15-B15)</x:f>
        <x:v>251999.99999999977</x:v>
      </x:c>
      <x:c r="E15" s="106" t="str">
        <x:v>Cost ratio deterioration indicates price/mix/waste pressure</x:v>
      </x:c>
      <x:c r="F15" s="106" t="str">
        <x:v>Recipe, waste and procurement review</x:v>
      </x:c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106"/>
      <x:c r="Q15" s="106"/>
      <x:c r="R15" s="106"/>
      <x:c r="S15" s="106"/>
      <x:c r="T15" s="106"/>
      <x:c r="U15" s="106"/>
      <x:c r="V15" s="106"/>
      <x:c r="W15" s="106"/>
      <x:c r="X15" s="106"/>
      <x:c r="Y15" s="106"/>
      <x:c r="Z15" s="106"/>
    </x:row>
    <x:row r="16">
      <x:c r="A16" s="129" t="str">
        <x:v>F&amp;B cost</x:v>
      </x:c>
      <x:c r="B16" s="130" t="n">
        <x:f>B14*B15</x:f>
        <x:v>2560000</x:v>
      </x:c>
      <x:c r="C16" s="130" t="n">
        <x:f>C14*C15</x:f>
        <x:v>2940000</x:v>
      </x:c>
      <x:c r="D16" s="130" t="n">
        <x:f>D14+D15</x:f>
        <x:v>379999.99999999977</x:v>
      </x:c>
      <x:c r="E16" s="129" t="str">
        <x:v>Total F&amp;B cost gap</x:v>
      </x:c>
      <x:c r="F16" s="129" t="str">
        <x:v>Tie to P&amp;L</x:v>
      </x:c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106"/>
      <x:c r="Q16" s="106"/>
      <x:c r="R16" s="106"/>
      <x:c r="S16" s="106"/>
      <x:c r="T16" s="106"/>
      <x:c r="U16" s="106"/>
      <x:c r="V16" s="106"/>
      <x:c r="W16" s="106"/>
      <x:c r="X16" s="106"/>
      <x:c r="Y16" s="106"/>
      <x:c r="Z16" s="106"/>
    </x:row>
    <x:row r="17">
      <x:c r="A17" s="106"/>
      <x:c r="B17" s="106"/>
      <x:c r="C17" s="106"/>
      <x:c r="D17" s="106"/>
      <x:c r="E17" s="106"/>
      <x:c r="F17" s="106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106"/>
      <x:c r="Q17" s="106"/>
      <x:c r="R17" s="106"/>
      <x:c r="S17" s="106"/>
      <x:c r="T17" s="106"/>
      <x:c r="U17" s="106"/>
      <x:c r="V17" s="106"/>
      <x:c r="W17" s="106"/>
      <x:c r="X17" s="106"/>
      <x:c r="Y17" s="106"/>
      <x:c r="Z17" s="106"/>
    </x:row>
    <x:row r="18">
      <x:c r="A18" s="106"/>
      <x:c r="B18" s="106"/>
      <x:c r="C18" s="106"/>
      <x:c r="D18" s="106"/>
      <x:c r="E18" s="106"/>
      <x:c r="F18" s="106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106"/>
      <x:c r="Q18" s="106"/>
      <x:c r="R18" s="106"/>
      <x:c r="S18" s="106"/>
      <x:c r="T18" s="106"/>
      <x:c r="U18" s="106"/>
      <x:c r="V18" s="106"/>
      <x:c r="W18" s="106"/>
      <x:c r="X18" s="106"/>
      <x:c r="Y18" s="106"/>
      <x:c r="Z18" s="106"/>
    </x:row>
    <x:row r="19">
      <x:c r="A19" s="106"/>
      <x:c r="B19" s="106"/>
      <x:c r="C19" s="106"/>
      <x:c r="D19" s="106"/>
      <x:c r="E19" s="106"/>
      <x:c r="F19" s="106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106"/>
      <x:c r="Q19" s="106"/>
      <x:c r="R19" s="106"/>
      <x:c r="S19" s="106"/>
      <x:c r="T19" s="106"/>
      <x:c r="U19" s="106"/>
      <x:c r="V19" s="106"/>
      <x:c r="W19" s="106"/>
      <x:c r="X19" s="106"/>
      <x:c r="Y19" s="106"/>
      <x:c r="Z19" s="106"/>
    </x:row>
    <x:row r="20">
      <x:c r="A20" s="106"/>
      <x:c r="B20" s="106"/>
      <x:c r="C20" s="106"/>
      <x:c r="D20" s="106"/>
      <x:c r="E20" s="106"/>
      <x:c r="F20" s="106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106"/>
      <x:c r="Q20" s="106"/>
      <x:c r="R20" s="106"/>
      <x:c r="S20" s="106"/>
      <x:c r="T20" s="106"/>
      <x:c r="U20" s="106"/>
      <x:c r="V20" s="106"/>
      <x:c r="W20" s="106"/>
      <x:c r="X20" s="106"/>
      <x:c r="Y20" s="106"/>
      <x:c r="Z20" s="106"/>
    </x:row>
    <x:row r="21">
      <x:c r="A21" s="106"/>
      <x:c r="B21" s="106"/>
      <x:c r="C21" s="106"/>
      <x:c r="D21" s="106"/>
      <x:c r="E21" s="106"/>
      <x:c r="F21" s="106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106"/>
      <x:c r="Q21" s="106"/>
      <x:c r="R21" s="106"/>
      <x:c r="S21" s="106"/>
      <x:c r="T21" s="106"/>
      <x:c r="U21" s="106"/>
      <x:c r="V21" s="106"/>
      <x:c r="W21" s="106"/>
      <x:c r="X21" s="106"/>
      <x:c r="Y21" s="106"/>
      <x:c r="Z21" s="106"/>
    </x:row>
    <x:row r="22">
      <x:c r="A22" s="106"/>
      <x:c r="B22" s="106"/>
      <x:c r="C22" s="106"/>
      <x:c r="D22" s="106"/>
      <x:c r="E22" s="106"/>
      <x:c r="F22" s="106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106"/>
      <x:c r="Q22" s="106"/>
      <x:c r="R22" s="106"/>
      <x:c r="S22" s="106"/>
      <x:c r="T22" s="106"/>
      <x:c r="U22" s="106"/>
      <x:c r="V22" s="106"/>
      <x:c r="W22" s="106"/>
      <x:c r="X22" s="106"/>
      <x:c r="Y22" s="106"/>
      <x:c r="Z22" s="106"/>
    </x:row>
    <x:row r="23">
      <x:c r="A23" s="106"/>
      <x:c r="B23" s="106"/>
      <x:c r="C23" s="106"/>
      <x:c r="D23" s="106"/>
      <x:c r="E23" s="106"/>
      <x:c r="F23" s="106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106"/>
      <x:c r="Q23" s="106"/>
      <x:c r="R23" s="106"/>
      <x:c r="S23" s="106"/>
      <x:c r="T23" s="106"/>
      <x:c r="U23" s="106"/>
      <x:c r="V23" s="106"/>
      <x:c r="W23" s="106"/>
      <x:c r="X23" s="106"/>
      <x:c r="Y23" s="106"/>
      <x:c r="Z23" s="106"/>
    </x:row>
    <x:row r="24">
      <x:c r="A24" s="106"/>
      <x:c r="B24" s="106"/>
      <x:c r="C24" s="106"/>
      <x:c r="D24" s="106"/>
      <x:c r="E24" s="106"/>
      <x:c r="F24" s="106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106"/>
      <x:c r="Q24" s="106"/>
      <x:c r="R24" s="106"/>
      <x:c r="S24" s="106"/>
      <x:c r="T24" s="106"/>
      <x:c r="U24" s="106"/>
      <x:c r="V24" s="106"/>
      <x:c r="W24" s="106"/>
      <x:c r="X24" s="106"/>
      <x:c r="Y24" s="106"/>
      <x:c r="Z24" s="106"/>
    </x:row>
    <x:row r="25">
      <x:c r="A25" s="106"/>
      <x:c r="B25" s="106"/>
      <x:c r="C25" s="106"/>
      <x:c r="D25" s="106"/>
      <x:c r="E25" s="106"/>
      <x:c r="F25" s="106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106"/>
      <x:c r="Q25" s="106"/>
      <x:c r="R25" s="106"/>
      <x:c r="S25" s="106"/>
      <x:c r="T25" s="106"/>
      <x:c r="U25" s="106"/>
      <x:c r="V25" s="106"/>
      <x:c r="W25" s="106"/>
      <x:c r="X25" s="106"/>
      <x:c r="Y25" s="106"/>
      <x:c r="Z25" s="106"/>
    </x:row>
    <x:row r="26">
      <x:c r="A26" s="106"/>
      <x:c r="B26" s="106"/>
      <x:c r="C26" s="106"/>
      <x:c r="D26" s="106"/>
      <x:c r="E26" s="106"/>
      <x:c r="F26" s="106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106"/>
      <x:c r="Q26" s="106"/>
      <x:c r="R26" s="106"/>
      <x:c r="S26" s="106"/>
      <x:c r="T26" s="106"/>
      <x:c r="U26" s="106"/>
      <x:c r="V26" s="106"/>
      <x:c r="W26" s="106"/>
      <x:c r="X26" s="106"/>
      <x:c r="Y26" s="106"/>
      <x:c r="Z26" s="106"/>
    </x:row>
    <x:row r="27">
      <x:c r="A27" s="106"/>
      <x:c r="B27" s="106"/>
      <x:c r="C27" s="106"/>
      <x:c r="D27" s="106"/>
      <x:c r="E27" s="106"/>
      <x:c r="F27" s="106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106"/>
      <x:c r="Q27" s="106"/>
      <x:c r="R27" s="106"/>
      <x:c r="S27" s="106"/>
      <x:c r="T27" s="106"/>
      <x:c r="U27" s="106"/>
      <x:c r="V27" s="106"/>
      <x:c r="W27" s="106"/>
      <x:c r="X27" s="106"/>
      <x:c r="Y27" s="106"/>
      <x:c r="Z27" s="106"/>
    </x:row>
    <x:row r="28">
      <x:c r="A28" s="106"/>
      <x:c r="B28" s="106"/>
      <x:c r="C28" s="106"/>
      <x:c r="D28" s="106"/>
      <x:c r="E28" s="106"/>
      <x:c r="F28" s="106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106"/>
      <x:c r="Q28" s="106"/>
      <x:c r="R28" s="106"/>
      <x:c r="S28" s="106"/>
      <x:c r="T28" s="106"/>
      <x:c r="U28" s="106"/>
      <x:c r="V28" s="106"/>
      <x:c r="W28" s="106"/>
      <x:c r="X28" s="106"/>
      <x:c r="Y28" s="106"/>
      <x:c r="Z28" s="106"/>
    </x:row>
    <x:row r="29">
      <x:c r="A29" s="106"/>
      <x:c r="B29" s="106"/>
      <x:c r="C29" s="106"/>
      <x:c r="D29" s="106"/>
      <x:c r="E29" s="106"/>
      <x:c r="F29" s="106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106"/>
      <x:c r="Q29" s="106"/>
      <x:c r="R29" s="106"/>
      <x:c r="S29" s="106"/>
      <x:c r="T29" s="106"/>
      <x:c r="U29" s="106"/>
      <x:c r="V29" s="106"/>
      <x:c r="W29" s="106"/>
      <x:c r="X29" s="106"/>
      <x:c r="Y29" s="106"/>
      <x:c r="Z29" s="106"/>
    </x:row>
    <x:row r="30">
      <x:c r="A30" s="106"/>
      <x:c r="B30" s="106"/>
      <x:c r="C30" s="106"/>
      <x:c r="D30" s="106"/>
      <x:c r="E30" s="106"/>
      <x:c r="F30" s="106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106"/>
      <x:c r="Q30" s="106"/>
      <x:c r="R30" s="106"/>
      <x:c r="S30" s="106"/>
      <x:c r="T30" s="106"/>
      <x:c r="U30" s="106"/>
      <x:c r="V30" s="106"/>
      <x:c r="W30" s="106"/>
      <x:c r="X30" s="106"/>
      <x:c r="Y30" s="106"/>
      <x:c r="Z30" s="106"/>
    </x:row>
    <x:row r="31">
      <x:c r="A31" s="106"/>
      <x:c r="B31" s="106"/>
      <x:c r="C31" s="106"/>
      <x:c r="D31" s="106"/>
      <x:c r="E31" s="106"/>
      <x:c r="F31" s="106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106"/>
      <x:c r="Q31" s="106"/>
      <x:c r="R31" s="106"/>
      <x:c r="S31" s="106"/>
      <x:c r="T31" s="106"/>
      <x:c r="U31" s="106"/>
      <x:c r="V31" s="106"/>
      <x:c r="W31" s="106"/>
      <x:c r="X31" s="106"/>
      <x:c r="Y31" s="106"/>
      <x:c r="Z31" s="106"/>
    </x:row>
    <x:row r="32">
      <x:c r="A32" s="106"/>
      <x:c r="B32" s="106"/>
      <x:c r="C32" s="106"/>
      <x:c r="D32" s="106"/>
      <x:c r="E32" s="106"/>
      <x:c r="F32" s="106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106"/>
      <x:c r="Q32" s="106"/>
      <x:c r="R32" s="106"/>
      <x:c r="S32" s="106"/>
      <x:c r="T32" s="106"/>
      <x:c r="U32" s="106"/>
      <x:c r="V32" s="106"/>
      <x:c r="W32" s="106"/>
      <x:c r="X32" s="106"/>
      <x:c r="Y32" s="106"/>
      <x:c r="Z32" s="106"/>
    </x:row>
    <x:row r="33">
      <x:c r="A33" s="106"/>
      <x:c r="B33" s="106"/>
      <x:c r="C33" s="106"/>
      <x:c r="D33" s="106"/>
      <x:c r="E33" s="106"/>
      <x:c r="F33" s="106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106"/>
      <x:c r="Q33" s="106"/>
      <x:c r="R33" s="106"/>
      <x:c r="S33" s="106"/>
      <x:c r="T33" s="106"/>
      <x:c r="U33" s="106"/>
      <x:c r="V33" s="106"/>
      <x:c r="W33" s="106"/>
      <x:c r="X33" s="106"/>
      <x:c r="Y33" s="106"/>
      <x:c r="Z33" s="106"/>
    </x:row>
    <x:row r="34">
      <x:c r="A34" s="106"/>
      <x:c r="B34" s="106"/>
      <x:c r="C34" s="106"/>
      <x:c r="D34" s="106"/>
      <x:c r="E34" s="106"/>
      <x:c r="F34" s="106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106"/>
      <x:c r="Q34" s="106"/>
      <x:c r="R34" s="106"/>
      <x:c r="S34" s="106"/>
      <x:c r="T34" s="106"/>
      <x:c r="U34" s="106"/>
      <x:c r="V34" s="106"/>
      <x:c r="W34" s="106"/>
      <x:c r="X34" s="106"/>
      <x:c r="Y34" s="106"/>
      <x:c r="Z34" s="106"/>
    </x:row>
    <x:row r="35">
      <x:c r="A35" s="106"/>
      <x:c r="B35" s="106"/>
      <x:c r="C35" s="106"/>
      <x:c r="D35" s="106"/>
      <x:c r="E35" s="106"/>
      <x:c r="F35" s="106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106"/>
      <x:c r="Q35" s="106"/>
      <x:c r="R35" s="106"/>
      <x:c r="S35" s="106"/>
      <x:c r="T35" s="106"/>
      <x:c r="U35" s="106"/>
      <x:c r="V35" s="106"/>
      <x:c r="W35" s="106"/>
      <x:c r="X35" s="106"/>
      <x:c r="Y35" s="106"/>
      <x:c r="Z35" s="106"/>
    </x:row>
    <x:row r="36">
      <x:c r="A36" s="106"/>
      <x:c r="B36" s="106"/>
      <x:c r="C36" s="106"/>
      <x:c r="D36" s="106"/>
      <x:c r="E36" s="106"/>
      <x:c r="F36" s="106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106"/>
      <x:c r="Q36" s="106"/>
      <x:c r="R36" s="106"/>
      <x:c r="S36" s="106"/>
      <x:c r="T36" s="106"/>
      <x:c r="U36" s="106"/>
      <x:c r="V36" s="106"/>
      <x:c r="W36" s="106"/>
      <x:c r="X36" s="106"/>
      <x:c r="Y36" s="106"/>
      <x:c r="Z36" s="106"/>
    </x:row>
    <x:row r="37">
      <x:c r="A37" s="106"/>
      <x:c r="B37" s="106"/>
      <x:c r="C37" s="106"/>
      <x:c r="D37" s="106"/>
      <x:c r="E37" s="106"/>
      <x:c r="F37" s="106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106"/>
      <x:c r="Q37" s="106"/>
      <x:c r="R37" s="106"/>
      <x:c r="S37" s="106"/>
      <x:c r="T37" s="106"/>
      <x:c r="U37" s="106"/>
      <x:c r="V37" s="106"/>
      <x:c r="W37" s="106"/>
      <x:c r="X37" s="106"/>
      <x:c r="Y37" s="106"/>
      <x:c r="Z37" s="106"/>
    </x:row>
    <x:row r="38">
      <x:c r="A38" s="106"/>
      <x:c r="B38" s="106"/>
      <x:c r="C38" s="106"/>
      <x:c r="D38" s="106"/>
      <x:c r="E38" s="106"/>
      <x:c r="F38" s="106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106"/>
      <x:c r="Q38" s="106"/>
      <x:c r="R38" s="106"/>
      <x:c r="S38" s="106"/>
      <x:c r="T38" s="106"/>
      <x:c r="U38" s="106"/>
      <x:c r="V38" s="106"/>
      <x:c r="W38" s="106"/>
      <x:c r="X38" s="106"/>
      <x:c r="Y38" s="106"/>
      <x:c r="Z38" s="106"/>
    </x:row>
    <x:row r="39">
      <x:c r="A39" s="106"/>
      <x:c r="B39" s="106"/>
      <x:c r="C39" s="106"/>
      <x:c r="D39" s="106"/>
      <x:c r="E39" s="106"/>
      <x:c r="F39" s="106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106"/>
      <x:c r="Q39" s="106"/>
      <x:c r="R39" s="106"/>
      <x:c r="S39" s="106"/>
      <x:c r="T39" s="106"/>
      <x:c r="U39" s="106"/>
      <x:c r="V39" s="106"/>
      <x:c r="W39" s="106"/>
      <x:c r="X39" s="106"/>
      <x:c r="Y39" s="106"/>
      <x:c r="Z39" s="106"/>
    </x:row>
    <x:row r="40">
      <x:c r="A40" s="106"/>
      <x:c r="B40" s="106"/>
      <x:c r="C40" s="106"/>
      <x:c r="D40" s="106"/>
      <x:c r="E40" s="106"/>
      <x:c r="F40" s="106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106"/>
      <x:c r="Q40" s="106"/>
      <x:c r="R40" s="106"/>
      <x:c r="S40" s="106"/>
      <x:c r="T40" s="106"/>
      <x:c r="U40" s="106"/>
      <x:c r="V40" s="106"/>
      <x:c r="W40" s="106"/>
      <x:c r="X40" s="106"/>
      <x:c r="Y40" s="106"/>
      <x:c r="Z40" s="106"/>
    </x:row>
    <x:row r="41">
      <x:c r="A41" s="106"/>
      <x:c r="B41" s="106"/>
      <x:c r="C41" s="106"/>
      <x:c r="D41" s="106"/>
      <x:c r="E41" s="106"/>
      <x:c r="F41" s="106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106"/>
      <x:c r="Q41" s="106"/>
      <x:c r="R41" s="106"/>
      <x:c r="S41" s="106"/>
      <x:c r="T41" s="106"/>
      <x:c r="U41" s="106"/>
      <x:c r="V41" s="106"/>
      <x:c r="W41" s="106"/>
      <x:c r="X41" s="106"/>
      <x:c r="Y41" s="106"/>
      <x:c r="Z41" s="106"/>
    </x:row>
    <x:row r="42">
      <x:c r="A42" s="106"/>
      <x:c r="B42" s="106"/>
      <x:c r="C42" s="106"/>
      <x:c r="D42" s="106"/>
      <x:c r="E42" s="106"/>
      <x:c r="F42" s="106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106"/>
      <x:c r="Q42" s="106"/>
      <x:c r="R42" s="106"/>
      <x:c r="S42" s="106"/>
      <x:c r="T42" s="106"/>
      <x:c r="U42" s="106"/>
      <x:c r="V42" s="106"/>
      <x:c r="W42" s="106"/>
      <x:c r="X42" s="106"/>
      <x:c r="Y42" s="106"/>
      <x:c r="Z42" s="106"/>
    </x:row>
    <x:row r="43">
      <x:c r="A43" s="106"/>
      <x:c r="B43" s="106"/>
      <x:c r="C43" s="106"/>
      <x:c r="D43" s="106"/>
      <x:c r="E43" s="106"/>
      <x:c r="F43" s="106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106"/>
      <x:c r="Q43" s="106"/>
      <x:c r="R43" s="106"/>
      <x:c r="S43" s="106"/>
      <x:c r="T43" s="106"/>
      <x:c r="U43" s="106"/>
      <x:c r="V43" s="106"/>
      <x:c r="W43" s="106"/>
      <x:c r="X43" s="106"/>
      <x:c r="Y43" s="106"/>
      <x:c r="Z43" s="106"/>
    </x:row>
    <x:row r="44">
      <x:c r="A44" s="106"/>
      <x:c r="B44" s="106"/>
      <x:c r="C44" s="106"/>
      <x:c r="D44" s="106"/>
      <x:c r="E44" s="106"/>
      <x:c r="F44" s="106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106"/>
      <x:c r="Q44" s="106"/>
      <x:c r="R44" s="106"/>
      <x:c r="S44" s="106"/>
      <x:c r="T44" s="106"/>
      <x:c r="U44" s="106"/>
      <x:c r="V44" s="106"/>
      <x:c r="W44" s="106"/>
      <x:c r="X44" s="106"/>
      <x:c r="Y44" s="106"/>
      <x:c r="Z44" s="106"/>
    </x:row>
    <x:row r="45">
      <x:c r="A45" s="106"/>
      <x:c r="B45" s="106"/>
      <x:c r="C45" s="106"/>
      <x:c r="D45" s="106"/>
      <x:c r="E45" s="106"/>
      <x:c r="F45" s="106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106"/>
      <x:c r="Q45" s="106"/>
      <x:c r="R45" s="106"/>
      <x:c r="S45" s="106"/>
      <x:c r="T45" s="106"/>
      <x:c r="U45" s="106"/>
      <x:c r="V45" s="106"/>
      <x:c r="W45" s="106"/>
      <x:c r="X45" s="106"/>
      <x:c r="Y45" s="106"/>
      <x:c r="Z45" s="106"/>
    </x:row>
    <x:row r="46">
      <x:c r="A46" s="106"/>
      <x:c r="B46" s="106"/>
      <x:c r="C46" s="106"/>
      <x:c r="D46" s="106"/>
      <x:c r="E46" s="106"/>
      <x:c r="F46" s="106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106"/>
      <x:c r="Q46" s="106"/>
      <x:c r="R46" s="106"/>
      <x:c r="S46" s="106"/>
      <x:c r="T46" s="106"/>
      <x:c r="U46" s="106"/>
      <x:c r="V46" s="106"/>
      <x:c r="W46" s="106"/>
      <x:c r="X46" s="106"/>
      <x:c r="Y46" s="106"/>
      <x:c r="Z46" s="106"/>
    </x:row>
    <x:row r="47">
      <x:c r="A47" s="106"/>
      <x:c r="B47" s="106"/>
      <x:c r="C47" s="106"/>
      <x:c r="D47" s="106"/>
      <x:c r="E47" s="106"/>
      <x:c r="F47" s="106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106"/>
      <x:c r="Q47" s="106"/>
      <x:c r="R47" s="106"/>
      <x:c r="S47" s="106"/>
      <x:c r="T47" s="106"/>
      <x:c r="U47" s="106"/>
      <x:c r="V47" s="106"/>
      <x:c r="W47" s="106"/>
      <x:c r="X47" s="106"/>
      <x:c r="Y47" s="106"/>
      <x:c r="Z47" s="106"/>
    </x:row>
    <x:row r="48">
      <x:c r="A48" s="106"/>
      <x:c r="B48" s="106"/>
      <x:c r="C48" s="106"/>
      <x:c r="D48" s="106"/>
      <x:c r="E48" s="106"/>
      <x:c r="F48" s="106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106"/>
      <x:c r="Q48" s="106"/>
      <x:c r="R48" s="106"/>
      <x:c r="S48" s="106"/>
      <x:c r="T48" s="106"/>
      <x:c r="U48" s="106"/>
      <x:c r="V48" s="106"/>
      <x:c r="W48" s="106"/>
      <x:c r="X48" s="106"/>
      <x:c r="Y48" s="106"/>
      <x:c r="Z48" s="106"/>
    </x:row>
    <x:row r="49">
      <x:c r="A49" s="106"/>
      <x:c r="B49" s="106"/>
      <x:c r="C49" s="106"/>
      <x:c r="D49" s="106"/>
      <x:c r="E49" s="106"/>
      <x:c r="F49" s="106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106"/>
      <x:c r="Q49" s="106"/>
      <x:c r="R49" s="106"/>
      <x:c r="S49" s="106"/>
      <x:c r="T49" s="106"/>
      <x:c r="U49" s="106"/>
      <x:c r="V49" s="106"/>
      <x:c r="W49" s="106"/>
      <x:c r="X49" s="106"/>
      <x:c r="Y49" s="106"/>
      <x:c r="Z49" s="106"/>
    </x:row>
    <x:row r="50">
      <x:c r="A50" s="106"/>
      <x:c r="B50" s="106"/>
      <x:c r="C50" s="106"/>
      <x:c r="D50" s="106"/>
      <x:c r="E50" s="106"/>
      <x:c r="F50" s="106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106"/>
      <x:c r="Q50" s="106"/>
      <x:c r="R50" s="106"/>
      <x:c r="S50" s="106"/>
      <x:c r="T50" s="106"/>
      <x:c r="U50" s="106"/>
      <x:c r="V50" s="106"/>
      <x:c r="W50" s="106"/>
      <x:c r="X50" s="106"/>
      <x:c r="Y50" s="106"/>
      <x:c r="Z50" s="106"/>
    </x:row>
    <x:row r="51">
      <x:c r="A51" s="106"/>
      <x:c r="B51" s="106"/>
      <x:c r="C51" s="106"/>
      <x:c r="D51" s="106"/>
      <x:c r="E51" s="106"/>
      <x:c r="F51" s="106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106"/>
      <x:c r="Q51" s="106"/>
      <x:c r="R51" s="106"/>
      <x:c r="S51" s="106"/>
      <x:c r="T51" s="106"/>
      <x:c r="U51" s="106"/>
      <x:c r="V51" s="106"/>
      <x:c r="W51" s="106"/>
      <x:c r="X51" s="106"/>
      <x:c r="Y51" s="106"/>
      <x:c r="Z51" s="106"/>
    </x:row>
    <x:row r="52">
      <x:c r="A52" s="106"/>
      <x:c r="B52" s="106"/>
      <x:c r="C52" s="106"/>
      <x:c r="D52" s="106"/>
      <x:c r="E52" s="106"/>
      <x:c r="F52" s="106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106"/>
      <x:c r="Q52" s="106"/>
      <x:c r="R52" s="106"/>
      <x:c r="S52" s="106"/>
      <x:c r="T52" s="106"/>
      <x:c r="U52" s="106"/>
      <x:c r="V52" s="106"/>
      <x:c r="W52" s="106"/>
      <x:c r="X52" s="106"/>
      <x:c r="Y52" s="106"/>
      <x:c r="Z52" s="106"/>
    </x:row>
    <x:row r="53">
      <x:c r="A53" s="106"/>
      <x:c r="B53" s="106"/>
      <x:c r="C53" s="106"/>
      <x:c r="D53" s="106"/>
      <x:c r="E53" s="106"/>
      <x:c r="F53" s="106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106"/>
      <x:c r="Q53" s="106"/>
      <x:c r="R53" s="106"/>
      <x:c r="S53" s="106"/>
      <x:c r="T53" s="106"/>
      <x:c r="U53" s="106"/>
      <x:c r="V53" s="106"/>
      <x:c r="W53" s="106"/>
      <x:c r="X53" s="106"/>
      <x:c r="Y53" s="106"/>
      <x:c r="Z53" s="106"/>
    </x:row>
    <x:row r="54">
      <x:c r="A54" s="106"/>
      <x:c r="B54" s="106"/>
      <x:c r="C54" s="106"/>
      <x:c r="D54" s="106"/>
      <x:c r="E54" s="106"/>
      <x:c r="F54" s="106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106"/>
      <x:c r="Q54" s="106"/>
      <x:c r="R54" s="106"/>
      <x:c r="S54" s="106"/>
      <x:c r="T54" s="106"/>
      <x:c r="U54" s="106"/>
      <x:c r="V54" s="106"/>
      <x:c r="W54" s="106"/>
      <x:c r="X54" s="106"/>
      <x:c r="Y54" s="106"/>
      <x:c r="Z54" s="106"/>
    </x:row>
    <x:row r="55">
      <x:c r="A55" s="106"/>
      <x:c r="B55" s="106"/>
      <x:c r="C55" s="106"/>
      <x:c r="D55" s="106"/>
      <x:c r="E55" s="106"/>
      <x:c r="F55" s="106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106"/>
      <x:c r="Q55" s="106"/>
      <x:c r="R55" s="106"/>
      <x:c r="S55" s="106"/>
      <x:c r="T55" s="106"/>
      <x:c r="U55" s="106"/>
      <x:c r="V55" s="106"/>
      <x:c r="W55" s="106"/>
      <x:c r="X55" s="106"/>
      <x:c r="Y55" s="106"/>
      <x:c r="Z55" s="106"/>
    </x:row>
    <x:row r="56">
      <x:c r="A56" s="106"/>
      <x:c r="B56" s="106"/>
      <x:c r="C56" s="106"/>
      <x:c r="D56" s="106"/>
      <x:c r="E56" s="106"/>
      <x:c r="F56" s="106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106"/>
      <x:c r="Q56" s="106"/>
      <x:c r="R56" s="106"/>
      <x:c r="S56" s="106"/>
      <x:c r="T56" s="106"/>
      <x:c r="U56" s="106"/>
      <x:c r="V56" s="106"/>
      <x:c r="W56" s="106"/>
      <x:c r="X56" s="106"/>
      <x:c r="Y56" s="106"/>
      <x:c r="Z56" s="106"/>
    </x:row>
    <x:row r="57">
      <x:c r="A57" s="106"/>
      <x:c r="B57" s="106"/>
      <x:c r="C57" s="106"/>
      <x:c r="D57" s="106"/>
      <x:c r="E57" s="106"/>
      <x:c r="F57" s="106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106"/>
      <x:c r="Q57" s="106"/>
      <x:c r="R57" s="106"/>
      <x:c r="S57" s="106"/>
      <x:c r="T57" s="106"/>
      <x:c r="U57" s="106"/>
      <x:c r="V57" s="106"/>
      <x:c r="W57" s="106"/>
      <x:c r="X57" s="106"/>
      <x:c r="Y57" s="106"/>
      <x:c r="Z57" s="106"/>
    </x:row>
    <x:row r="58">
      <x:c r="A58" s="106"/>
      <x:c r="B58" s="106"/>
      <x:c r="C58" s="106"/>
      <x:c r="D58" s="106"/>
      <x:c r="E58" s="106"/>
      <x:c r="F58" s="106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106"/>
      <x:c r="Q58" s="106"/>
      <x:c r="R58" s="106"/>
      <x:c r="S58" s="106"/>
      <x:c r="T58" s="106"/>
      <x:c r="U58" s="106"/>
      <x:c r="V58" s="106"/>
      <x:c r="W58" s="106"/>
      <x:c r="X58" s="106"/>
      <x:c r="Y58" s="106"/>
      <x:c r="Z58" s="106"/>
    </x:row>
    <x:row r="59">
      <x:c r="A59" s="106"/>
      <x:c r="B59" s="106"/>
      <x:c r="C59" s="106"/>
      <x:c r="D59" s="106"/>
      <x:c r="E59" s="106"/>
      <x:c r="F59" s="106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106"/>
      <x:c r="Q59" s="106"/>
      <x:c r="R59" s="106"/>
      <x:c r="S59" s="106"/>
      <x:c r="T59" s="106"/>
      <x:c r="U59" s="106"/>
      <x:c r="V59" s="106"/>
      <x:c r="W59" s="106"/>
      <x:c r="X59" s="106"/>
      <x:c r="Y59" s="106"/>
      <x:c r="Z59" s="106"/>
    </x:row>
    <x:row r="60">
      <x:c r="A60" s="106"/>
      <x:c r="B60" s="106"/>
      <x:c r="C60" s="106"/>
      <x:c r="D60" s="106"/>
      <x:c r="E60" s="106"/>
      <x:c r="F60" s="106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106"/>
      <x:c r="Q60" s="106"/>
      <x:c r="R60" s="106"/>
      <x:c r="S60" s="106"/>
      <x:c r="T60" s="106"/>
      <x:c r="U60" s="106"/>
      <x:c r="V60" s="106"/>
      <x:c r="W60" s="106"/>
      <x:c r="X60" s="106"/>
      <x:c r="Y60" s="106"/>
      <x:c r="Z60" s="106"/>
    </x:row>
    <x:row r="61">
      <x:c r="A61" s="106"/>
      <x:c r="B61" s="106"/>
      <x:c r="C61" s="106"/>
      <x:c r="D61" s="106"/>
      <x:c r="E61" s="106"/>
      <x:c r="F61" s="106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106"/>
      <x:c r="Q61" s="106"/>
      <x:c r="R61" s="106"/>
      <x:c r="S61" s="106"/>
      <x:c r="T61" s="106"/>
      <x:c r="U61" s="106"/>
      <x:c r="V61" s="106"/>
      <x:c r="W61" s="106"/>
      <x:c r="X61" s="106"/>
      <x:c r="Y61" s="106"/>
      <x:c r="Z61" s="106"/>
    </x:row>
    <x:row r="62">
      <x:c r="A62" s="106"/>
      <x:c r="B62" s="106"/>
      <x:c r="C62" s="106"/>
      <x:c r="D62" s="106"/>
      <x:c r="E62" s="106"/>
      <x:c r="F62" s="106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106"/>
      <x:c r="Q62" s="106"/>
      <x:c r="R62" s="106"/>
      <x:c r="S62" s="106"/>
      <x:c r="T62" s="106"/>
      <x:c r="U62" s="106"/>
      <x:c r="V62" s="106"/>
      <x:c r="W62" s="106"/>
      <x:c r="X62" s="106"/>
      <x:c r="Y62" s="106"/>
      <x:c r="Z62" s="106"/>
    </x:row>
    <x:row r="63">
      <x:c r="A63" s="106"/>
      <x:c r="B63" s="106"/>
      <x:c r="C63" s="106"/>
      <x:c r="D63" s="106"/>
      <x:c r="E63" s="106"/>
      <x:c r="F63" s="106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106"/>
      <x:c r="Q63" s="106"/>
      <x:c r="R63" s="106"/>
      <x:c r="S63" s="106"/>
      <x:c r="T63" s="106"/>
      <x:c r="U63" s="106"/>
      <x:c r="V63" s="106"/>
      <x:c r="W63" s="106"/>
      <x:c r="X63" s="106"/>
      <x:c r="Y63" s="106"/>
      <x:c r="Z63" s="106"/>
    </x:row>
    <x:row r="64">
      <x:c r="A64" s="106"/>
      <x:c r="B64" s="106"/>
      <x:c r="C64" s="106"/>
      <x:c r="D64" s="106"/>
      <x:c r="E64" s="106"/>
      <x:c r="F64" s="106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106"/>
      <x:c r="Q64" s="106"/>
      <x:c r="R64" s="106"/>
      <x:c r="S64" s="106"/>
      <x:c r="T64" s="106"/>
      <x:c r="U64" s="106"/>
      <x:c r="V64" s="106"/>
      <x:c r="W64" s="106"/>
      <x:c r="X64" s="106"/>
      <x:c r="Y64" s="106"/>
      <x:c r="Z64" s="106"/>
    </x:row>
    <x:row r="65">
      <x:c r="A65" s="106"/>
      <x:c r="B65" s="106"/>
      <x:c r="C65" s="106"/>
      <x:c r="D65" s="106"/>
      <x:c r="E65" s="106"/>
      <x:c r="F65" s="106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106"/>
      <x:c r="Q65" s="106"/>
      <x:c r="R65" s="106"/>
      <x:c r="S65" s="106"/>
      <x:c r="T65" s="106"/>
      <x:c r="U65" s="106"/>
      <x:c r="V65" s="106"/>
      <x:c r="W65" s="106"/>
      <x:c r="X65" s="106"/>
      <x:c r="Y65" s="106"/>
      <x:c r="Z65" s="106"/>
    </x:row>
    <x:row r="66">
      <x:c r="A66" s="106"/>
      <x:c r="B66" s="106"/>
      <x:c r="C66" s="106"/>
      <x:c r="D66" s="106"/>
      <x:c r="E66" s="106"/>
      <x:c r="F66" s="106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106"/>
      <x:c r="Q66" s="106"/>
      <x:c r="R66" s="106"/>
      <x:c r="S66" s="106"/>
      <x:c r="T66" s="106"/>
      <x:c r="U66" s="106"/>
      <x:c r="V66" s="106"/>
      <x:c r="W66" s="106"/>
      <x:c r="X66" s="106"/>
      <x:c r="Y66" s="106"/>
      <x:c r="Z66" s="106"/>
    </x:row>
    <x:row r="67">
      <x:c r="A67" s="106"/>
      <x:c r="B67" s="106"/>
      <x:c r="C67" s="106"/>
      <x:c r="D67" s="106"/>
      <x:c r="E67" s="106"/>
      <x:c r="F67" s="106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106"/>
      <x:c r="Q67" s="106"/>
      <x:c r="R67" s="106"/>
      <x:c r="S67" s="106"/>
      <x:c r="T67" s="106"/>
      <x:c r="U67" s="106"/>
      <x:c r="V67" s="106"/>
      <x:c r="W67" s="106"/>
      <x:c r="X67" s="106"/>
      <x:c r="Y67" s="106"/>
      <x:c r="Z67" s="106"/>
    </x:row>
    <x:row r="68">
      <x:c r="A68" s="106"/>
      <x:c r="B68" s="106"/>
      <x:c r="C68" s="106"/>
      <x:c r="D68" s="106"/>
      <x:c r="E68" s="106"/>
      <x:c r="F68" s="106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106"/>
      <x:c r="Q68" s="106"/>
      <x:c r="R68" s="106"/>
      <x:c r="S68" s="106"/>
      <x:c r="T68" s="106"/>
      <x:c r="U68" s="106"/>
      <x:c r="V68" s="106"/>
      <x:c r="W68" s="106"/>
      <x:c r="X68" s="106"/>
      <x:c r="Y68" s="106"/>
      <x:c r="Z68" s="106"/>
    </x:row>
    <x:row r="69">
      <x:c r="A69" s="106"/>
      <x:c r="B69" s="106"/>
      <x:c r="C69" s="106"/>
      <x:c r="D69" s="106"/>
      <x:c r="E69" s="106"/>
      <x:c r="F69" s="106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106"/>
      <x:c r="Q69" s="106"/>
      <x:c r="R69" s="106"/>
      <x:c r="S69" s="106"/>
      <x:c r="T69" s="106"/>
      <x:c r="U69" s="106"/>
      <x:c r="V69" s="106"/>
      <x:c r="W69" s="106"/>
      <x:c r="X69" s="106"/>
      <x:c r="Y69" s="106"/>
      <x:c r="Z69" s="106"/>
    </x:row>
    <x:row r="70">
      <x:c r="A70" s="106"/>
      <x:c r="B70" s="106"/>
      <x:c r="C70" s="106"/>
      <x:c r="D70" s="106"/>
      <x:c r="E70" s="106"/>
      <x:c r="F70" s="106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106"/>
      <x:c r="Q70" s="106"/>
      <x:c r="R70" s="106"/>
      <x:c r="S70" s="106"/>
      <x:c r="T70" s="106"/>
      <x:c r="U70" s="106"/>
      <x:c r="V70" s="106"/>
      <x:c r="W70" s="106"/>
      <x:c r="X70" s="106"/>
      <x:c r="Y70" s="106"/>
      <x:c r="Z70" s="106"/>
    </x:row>
    <x:row r="71">
      <x:c r="A71" s="106"/>
      <x:c r="B71" s="106"/>
      <x:c r="C71" s="106"/>
      <x:c r="D71" s="106"/>
      <x:c r="E71" s="106"/>
      <x:c r="F71" s="106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106"/>
      <x:c r="Q71" s="106"/>
      <x:c r="R71" s="106"/>
      <x:c r="S71" s="106"/>
      <x:c r="T71" s="106"/>
      <x:c r="U71" s="106"/>
      <x:c r="V71" s="106"/>
      <x:c r="W71" s="106"/>
      <x:c r="X71" s="106"/>
      <x:c r="Y71" s="106"/>
      <x:c r="Z71" s="106"/>
    </x:row>
    <x:row r="72">
      <x:c r="A72" s="106"/>
      <x:c r="B72" s="106"/>
      <x:c r="C72" s="106"/>
      <x:c r="D72" s="106"/>
      <x:c r="E72" s="106"/>
      <x:c r="F72" s="106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106"/>
      <x:c r="Q72" s="106"/>
      <x:c r="R72" s="106"/>
      <x:c r="S72" s="106"/>
      <x:c r="T72" s="106"/>
      <x:c r="U72" s="106"/>
      <x:c r="V72" s="106"/>
      <x:c r="W72" s="106"/>
      <x:c r="X72" s="106"/>
      <x:c r="Y72" s="106"/>
      <x:c r="Z72" s="106"/>
    </x:row>
    <x:row r="73">
      <x:c r="A73" s="106"/>
      <x:c r="B73" s="106"/>
      <x:c r="C73" s="106"/>
      <x:c r="D73" s="106"/>
      <x:c r="E73" s="106"/>
      <x:c r="F73" s="106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106"/>
      <x:c r="Q73" s="106"/>
      <x:c r="R73" s="106"/>
      <x:c r="S73" s="106"/>
      <x:c r="T73" s="106"/>
      <x:c r="U73" s="106"/>
      <x:c r="V73" s="106"/>
      <x:c r="W73" s="106"/>
      <x:c r="X73" s="106"/>
      <x:c r="Y73" s="106"/>
      <x:c r="Z73" s="106"/>
    </x:row>
    <x:row r="74">
      <x:c r="A74" s="106"/>
      <x:c r="B74" s="106"/>
      <x:c r="C74" s="106"/>
      <x:c r="D74" s="106"/>
      <x:c r="E74" s="106"/>
      <x:c r="F74" s="106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106"/>
      <x:c r="Q74" s="106"/>
      <x:c r="R74" s="106"/>
      <x:c r="S74" s="106"/>
      <x:c r="T74" s="106"/>
      <x:c r="U74" s="106"/>
      <x:c r="V74" s="106"/>
      <x:c r="W74" s="106"/>
      <x:c r="X74" s="106"/>
      <x:c r="Y74" s="106"/>
      <x:c r="Z74" s="106"/>
    </x:row>
    <x:row r="75">
      <x:c r="A75" s="106"/>
      <x:c r="B75" s="106"/>
      <x:c r="C75" s="106"/>
      <x:c r="D75" s="106"/>
      <x:c r="E75" s="106"/>
      <x:c r="F75" s="106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106"/>
      <x:c r="Q75" s="106"/>
      <x:c r="R75" s="106"/>
      <x:c r="S75" s="106"/>
      <x:c r="T75" s="106"/>
      <x:c r="U75" s="106"/>
      <x:c r="V75" s="106"/>
      <x:c r="W75" s="106"/>
      <x:c r="X75" s="106"/>
      <x:c r="Y75" s="106"/>
      <x:c r="Z75" s="106"/>
    </x:row>
    <x:row r="76">
      <x:c r="A76" s="106"/>
      <x:c r="B76" s="106"/>
      <x:c r="C76" s="106"/>
      <x:c r="D76" s="106"/>
      <x:c r="E76" s="106"/>
      <x:c r="F76" s="106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106"/>
      <x:c r="Q76" s="106"/>
      <x:c r="R76" s="106"/>
      <x:c r="S76" s="106"/>
      <x:c r="T76" s="106"/>
      <x:c r="U76" s="106"/>
      <x:c r="V76" s="106"/>
      <x:c r="W76" s="106"/>
      <x:c r="X76" s="106"/>
      <x:c r="Y76" s="106"/>
      <x:c r="Z76" s="106"/>
    </x:row>
    <x:row r="77">
      <x:c r="A77" s="106"/>
      <x:c r="B77" s="106"/>
      <x:c r="C77" s="106"/>
      <x:c r="D77" s="106"/>
      <x:c r="E77" s="106"/>
      <x:c r="F77" s="106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106"/>
      <x:c r="Q77" s="106"/>
      <x:c r="R77" s="106"/>
      <x:c r="S77" s="106"/>
      <x:c r="T77" s="106"/>
      <x:c r="U77" s="106"/>
      <x:c r="V77" s="106"/>
      <x:c r="W77" s="106"/>
      <x:c r="X77" s="106"/>
      <x:c r="Y77" s="106"/>
      <x:c r="Z77" s="106"/>
    </x:row>
    <x:row r="78">
      <x:c r="A78" s="106"/>
      <x:c r="B78" s="106"/>
      <x:c r="C78" s="106"/>
      <x:c r="D78" s="106"/>
      <x:c r="E78" s="106"/>
      <x:c r="F78" s="106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106"/>
      <x:c r="Q78" s="106"/>
      <x:c r="R78" s="106"/>
      <x:c r="S78" s="106"/>
      <x:c r="T78" s="106"/>
      <x:c r="U78" s="106"/>
      <x:c r="V78" s="106"/>
      <x:c r="W78" s="106"/>
      <x:c r="X78" s="106"/>
      <x:c r="Y78" s="106"/>
      <x:c r="Z78" s="106"/>
    </x:row>
    <x:row r="79">
      <x:c r="A79" s="106"/>
      <x:c r="B79" s="106"/>
      <x:c r="C79" s="106"/>
      <x:c r="D79" s="106"/>
      <x:c r="E79" s="106"/>
      <x:c r="F79" s="106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106"/>
      <x:c r="Q79" s="106"/>
      <x:c r="R79" s="106"/>
      <x:c r="S79" s="106"/>
      <x:c r="T79" s="106"/>
      <x:c r="U79" s="106"/>
      <x:c r="V79" s="106"/>
      <x:c r="W79" s="106"/>
      <x:c r="X79" s="106"/>
      <x:c r="Y79" s="106"/>
      <x:c r="Z79" s="106"/>
    </x:row>
    <x:row r="80">
      <x:c r="A80" s="106"/>
      <x:c r="B80" s="106"/>
      <x:c r="C80" s="106"/>
      <x:c r="D80" s="106"/>
      <x:c r="E80" s="106"/>
      <x:c r="F80" s="106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106"/>
      <x:c r="Q80" s="106"/>
      <x:c r="R80" s="106"/>
      <x:c r="S80" s="106"/>
      <x:c r="T80" s="106"/>
      <x:c r="U80" s="106"/>
      <x:c r="V80" s="106"/>
      <x:c r="W80" s="106"/>
      <x:c r="X80" s="106"/>
      <x:c r="Y80" s="106"/>
      <x:c r="Z80" s="106"/>
    </x:row>
    <x:row r="81">
      <x:c r="A81" s="106"/>
      <x:c r="B81" s="106"/>
      <x:c r="C81" s="106"/>
      <x:c r="D81" s="106"/>
      <x:c r="E81" s="106"/>
      <x:c r="F81" s="106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106"/>
      <x:c r="Q81" s="106"/>
      <x:c r="R81" s="106"/>
      <x:c r="S81" s="106"/>
      <x:c r="T81" s="106"/>
      <x:c r="U81" s="106"/>
      <x:c r="V81" s="106"/>
      <x:c r="W81" s="106"/>
      <x:c r="X81" s="106"/>
      <x:c r="Y81" s="106"/>
      <x:c r="Z81" s="106"/>
    </x:row>
    <x:row r="82">
      <x:c r="A82" s="106"/>
      <x:c r="B82" s="106"/>
      <x:c r="C82" s="106"/>
      <x:c r="D82" s="106"/>
      <x:c r="E82" s="106"/>
      <x:c r="F82" s="106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106"/>
      <x:c r="Q82" s="106"/>
      <x:c r="R82" s="106"/>
      <x:c r="S82" s="106"/>
      <x:c r="T82" s="106"/>
      <x:c r="U82" s="106"/>
      <x:c r="V82" s="106"/>
      <x:c r="W82" s="106"/>
      <x:c r="X82" s="106"/>
      <x:c r="Y82" s="106"/>
      <x:c r="Z82" s="106"/>
    </x:row>
    <x:row r="83">
      <x:c r="A83" s="106"/>
      <x:c r="B83" s="106"/>
      <x:c r="C83" s="106"/>
      <x:c r="D83" s="106"/>
      <x:c r="E83" s="106"/>
      <x:c r="F83" s="106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106"/>
      <x:c r="Q83" s="106"/>
      <x:c r="R83" s="106"/>
      <x:c r="S83" s="106"/>
      <x:c r="T83" s="106"/>
      <x:c r="U83" s="106"/>
      <x:c r="V83" s="106"/>
      <x:c r="W83" s="106"/>
      <x:c r="X83" s="106"/>
      <x:c r="Y83" s="106"/>
      <x:c r="Z83" s="106"/>
    </x:row>
    <x:row r="84">
      <x:c r="A84" s="106"/>
      <x:c r="B84" s="106"/>
      <x:c r="C84" s="106"/>
      <x:c r="D84" s="106"/>
      <x:c r="E84" s="106"/>
      <x:c r="F84" s="106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106"/>
      <x:c r="Q84" s="106"/>
      <x:c r="R84" s="106"/>
      <x:c r="S84" s="106"/>
      <x:c r="T84" s="106"/>
      <x:c r="U84" s="106"/>
      <x:c r="V84" s="106"/>
      <x:c r="W84" s="106"/>
      <x:c r="X84" s="106"/>
      <x:c r="Y84" s="106"/>
      <x:c r="Z84" s="106"/>
    </x:row>
    <x:row r="85">
      <x:c r="A85" s="106"/>
      <x:c r="B85" s="106"/>
      <x:c r="C85" s="106"/>
      <x:c r="D85" s="106"/>
      <x:c r="E85" s="106"/>
      <x:c r="F85" s="106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106"/>
      <x:c r="Q85" s="106"/>
      <x:c r="R85" s="106"/>
      <x:c r="S85" s="106"/>
      <x:c r="T85" s="106"/>
      <x:c r="U85" s="106"/>
      <x:c r="V85" s="106"/>
      <x:c r="W85" s="106"/>
      <x:c r="X85" s="106"/>
      <x:c r="Y85" s="106"/>
      <x:c r="Z85" s="106"/>
    </x:row>
    <x:row r="86">
      <x:c r="A86" s="106"/>
      <x:c r="B86" s="106"/>
      <x:c r="C86" s="106"/>
      <x:c r="D86" s="106"/>
      <x:c r="E86" s="106"/>
      <x:c r="F86" s="106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106"/>
      <x:c r="Q86" s="106"/>
      <x:c r="R86" s="106"/>
      <x:c r="S86" s="106"/>
      <x:c r="T86" s="106"/>
      <x:c r="U86" s="106"/>
      <x:c r="V86" s="106"/>
      <x:c r="W86" s="106"/>
      <x:c r="X86" s="106"/>
      <x:c r="Y86" s="106"/>
      <x:c r="Z86" s="106"/>
    </x:row>
    <x:row r="87">
      <x:c r="A87" s="106"/>
      <x:c r="B87" s="106"/>
      <x:c r="C87" s="106"/>
      <x:c r="D87" s="106"/>
      <x:c r="E87" s="106"/>
      <x:c r="F87" s="106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106"/>
      <x:c r="Q87" s="106"/>
      <x:c r="R87" s="106"/>
      <x:c r="S87" s="106"/>
      <x:c r="T87" s="106"/>
      <x:c r="U87" s="106"/>
      <x:c r="V87" s="106"/>
      <x:c r="W87" s="106"/>
      <x:c r="X87" s="106"/>
      <x:c r="Y87" s="106"/>
      <x:c r="Z87" s="106"/>
    </x:row>
    <x:row r="88">
      <x:c r="A88" s="106"/>
      <x:c r="B88" s="106"/>
      <x:c r="C88" s="106"/>
      <x:c r="D88" s="106"/>
      <x:c r="E88" s="106"/>
      <x:c r="F88" s="106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106"/>
      <x:c r="Q88" s="106"/>
      <x:c r="R88" s="106"/>
      <x:c r="S88" s="106"/>
      <x:c r="T88" s="106"/>
      <x:c r="U88" s="106"/>
      <x:c r="V88" s="106"/>
      <x:c r="W88" s="106"/>
      <x:c r="X88" s="106"/>
      <x:c r="Y88" s="106"/>
      <x:c r="Z88" s="106"/>
    </x:row>
    <x:row r="89">
      <x:c r="A89" s="106"/>
      <x:c r="B89" s="106"/>
      <x:c r="C89" s="106"/>
      <x:c r="D89" s="106"/>
      <x:c r="E89" s="106"/>
      <x:c r="F89" s="106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106"/>
      <x:c r="Q89" s="106"/>
      <x:c r="R89" s="106"/>
      <x:c r="S89" s="106"/>
      <x:c r="T89" s="106"/>
      <x:c r="U89" s="106"/>
      <x:c r="V89" s="106"/>
      <x:c r="W89" s="106"/>
      <x:c r="X89" s="106"/>
      <x:c r="Y89" s="106"/>
      <x:c r="Z89" s="106"/>
    </x:row>
    <x:row r="90">
      <x:c r="A90" s="106"/>
      <x:c r="B90" s="106"/>
      <x:c r="C90" s="106"/>
      <x:c r="D90" s="106"/>
      <x:c r="E90" s="106"/>
      <x:c r="F90" s="106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106"/>
      <x:c r="Q90" s="106"/>
      <x:c r="R90" s="106"/>
      <x:c r="S90" s="106"/>
      <x:c r="T90" s="106"/>
      <x:c r="U90" s="106"/>
      <x:c r="V90" s="106"/>
      <x:c r="W90" s="106"/>
      <x:c r="X90" s="106"/>
      <x:c r="Y90" s="106"/>
      <x:c r="Z90" s="106"/>
    </x:row>
    <x:row r="91">
      <x:c r="A91" s="106"/>
      <x:c r="B91" s="106"/>
      <x:c r="C91" s="106"/>
      <x:c r="D91" s="106"/>
      <x:c r="E91" s="106"/>
      <x:c r="F91" s="106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106"/>
      <x:c r="Q91" s="106"/>
      <x:c r="R91" s="106"/>
      <x:c r="S91" s="106"/>
      <x:c r="T91" s="106"/>
      <x:c r="U91" s="106"/>
      <x:c r="V91" s="106"/>
      <x:c r="W91" s="106"/>
      <x:c r="X91" s="106"/>
      <x:c r="Y91" s="106"/>
      <x:c r="Z91" s="106"/>
    </x:row>
    <x:row r="92">
      <x:c r="A92" s="106"/>
      <x:c r="B92" s="106"/>
      <x:c r="C92" s="106"/>
      <x:c r="D92" s="106"/>
      <x:c r="E92" s="106"/>
      <x:c r="F92" s="106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106"/>
      <x:c r="Q92" s="106"/>
      <x:c r="R92" s="106"/>
      <x:c r="S92" s="106"/>
      <x:c r="T92" s="106"/>
      <x:c r="U92" s="106"/>
      <x:c r="V92" s="106"/>
      <x:c r="W92" s="106"/>
      <x:c r="X92" s="106"/>
      <x:c r="Y92" s="106"/>
      <x:c r="Z92" s="106"/>
    </x:row>
    <x:row r="93">
      <x:c r="A93" s="106"/>
      <x:c r="B93" s="106"/>
      <x:c r="C93" s="106"/>
      <x:c r="D93" s="106"/>
      <x:c r="E93" s="106"/>
      <x:c r="F93" s="106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106"/>
      <x:c r="Q93" s="106"/>
      <x:c r="R93" s="106"/>
      <x:c r="S93" s="106"/>
      <x:c r="T93" s="106"/>
      <x:c r="U93" s="106"/>
      <x:c r="V93" s="106"/>
      <x:c r="W93" s="106"/>
      <x:c r="X93" s="106"/>
      <x:c r="Y93" s="106"/>
      <x:c r="Z93" s="106"/>
    </x:row>
    <x:row r="94">
      <x:c r="A94" s="106"/>
      <x:c r="B94" s="106"/>
      <x:c r="C94" s="106"/>
      <x:c r="D94" s="106"/>
      <x:c r="E94" s="106"/>
      <x:c r="F94" s="106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106"/>
      <x:c r="Q94" s="106"/>
      <x:c r="R94" s="106"/>
      <x:c r="S94" s="106"/>
      <x:c r="T94" s="106"/>
      <x:c r="U94" s="106"/>
      <x:c r="V94" s="106"/>
      <x:c r="W94" s="106"/>
      <x:c r="X94" s="106"/>
      <x:c r="Y94" s="106"/>
      <x:c r="Z94" s="106"/>
    </x:row>
    <x:row r="95">
      <x:c r="A95" s="106"/>
      <x:c r="B95" s="106"/>
      <x:c r="C95" s="106"/>
      <x:c r="D95" s="106"/>
      <x:c r="E95" s="106"/>
      <x:c r="F95" s="106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106"/>
      <x:c r="Q95" s="106"/>
      <x:c r="R95" s="106"/>
      <x:c r="S95" s="106"/>
      <x:c r="T95" s="106"/>
      <x:c r="U95" s="106"/>
      <x:c r="V95" s="106"/>
      <x:c r="W95" s="106"/>
      <x:c r="X95" s="106"/>
      <x:c r="Y95" s="106"/>
      <x:c r="Z95" s="106"/>
    </x:row>
    <x:row r="96">
      <x:c r="A96" s="106"/>
      <x:c r="B96" s="106"/>
      <x:c r="C96" s="106"/>
      <x:c r="D96" s="106"/>
      <x:c r="E96" s="106"/>
      <x:c r="F96" s="106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106"/>
      <x:c r="Q96" s="106"/>
      <x:c r="R96" s="106"/>
      <x:c r="S96" s="106"/>
      <x:c r="T96" s="106"/>
      <x:c r="U96" s="106"/>
      <x:c r="V96" s="106"/>
      <x:c r="W96" s="106"/>
      <x:c r="X96" s="106"/>
      <x:c r="Y96" s="106"/>
      <x:c r="Z96" s="106"/>
    </x:row>
    <x:row r="97">
      <x:c r="A97" s="106"/>
      <x:c r="B97" s="106"/>
      <x:c r="C97" s="106"/>
      <x:c r="D97" s="106"/>
      <x:c r="E97" s="106"/>
      <x:c r="F97" s="106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106"/>
      <x:c r="Q97" s="106"/>
      <x:c r="R97" s="106"/>
      <x:c r="S97" s="106"/>
      <x:c r="T97" s="106"/>
      <x:c r="U97" s="106"/>
      <x:c r="V97" s="106"/>
      <x:c r="W97" s="106"/>
      <x:c r="X97" s="106"/>
      <x:c r="Y97" s="106"/>
      <x:c r="Z97" s="106"/>
    </x:row>
    <x:row r="98">
      <x:c r="A98" s="106"/>
      <x:c r="B98" s="106"/>
      <x:c r="C98" s="106"/>
      <x:c r="D98" s="106"/>
      <x:c r="E98" s="106"/>
      <x:c r="F98" s="106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106"/>
      <x:c r="Q98" s="106"/>
      <x:c r="R98" s="106"/>
      <x:c r="S98" s="106"/>
      <x:c r="T98" s="106"/>
      <x:c r="U98" s="106"/>
      <x:c r="V98" s="106"/>
      <x:c r="W98" s="106"/>
      <x:c r="X98" s="106"/>
      <x:c r="Y98" s="106"/>
      <x:c r="Z98" s="106"/>
    </x:row>
    <x:row r="99">
      <x:c r="A99" s="106"/>
      <x:c r="B99" s="106"/>
      <x:c r="C99" s="106"/>
      <x:c r="D99" s="106"/>
      <x:c r="E99" s="106"/>
      <x:c r="F99" s="106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106"/>
      <x:c r="Q99" s="106"/>
      <x:c r="R99" s="106"/>
      <x:c r="S99" s="106"/>
      <x:c r="T99" s="106"/>
      <x:c r="U99" s="106"/>
      <x:c r="V99" s="106"/>
      <x:c r="W99" s="106"/>
      <x:c r="X99" s="106"/>
      <x:c r="Y99" s="106"/>
      <x:c r="Z99" s="106"/>
    </x:row>
    <x:row r="100">
      <x:c r="A100" s="106"/>
      <x:c r="B100" s="106"/>
      <x:c r="C100" s="106"/>
      <x:c r="D100" s="106"/>
      <x:c r="E100" s="106"/>
      <x:c r="F100" s="106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106"/>
      <x:c r="Q100" s="106"/>
      <x:c r="R100" s="106"/>
      <x:c r="S100" s="106"/>
      <x:c r="T100" s="106"/>
      <x:c r="U100" s="106"/>
      <x:c r="V100" s="106"/>
      <x:c r="W100" s="106"/>
      <x:c r="X100" s="106"/>
      <x:c r="Y100" s="106"/>
      <x:c r="Z100" s="106"/>
    </x:row>
  </x:sheetData>
  <x:mergeCells>
    <x:mergeCell ref="A1:H1"/>
    <x:mergeCell ref="A2:H2"/>
    <x:mergeCell ref="A12:F1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</x:cols>
  <x:sheetData>
    <x:row r="1" ht="30" customHeight="1">
      <x:c r="A1" s="117" t="str">
        <x:v>05. Operating Scenarios</x:v>
      </x:c>
      <x:c r="B1" s="117"/>
      <x:c r="C1" s="117"/>
      <x:c r="D1" s="117"/>
      <x:c r="E1" s="117"/>
      <x:c r="F1" s="117"/>
      <x:c r="G1" s="117"/>
      <x:c r="H1" s="106"/>
      <x:c r="I1" s="106"/>
      <x:c r="J1" s="106"/>
      <x:c r="K1" s="106"/>
      <x:c r="L1" s="106"/>
      <x:c r="M1" s="106"/>
      <x:c r="N1" s="106"/>
      <x:c r="O1" s="106"/>
      <x:c r="P1" s="106"/>
      <x:c r="Q1" s="106"/>
      <x:c r="R1" s="106"/>
      <x:c r="S1" s="106"/>
      <x:c r="T1" s="106"/>
      <x:c r="U1" s="106"/>
      <x:c r="V1" s="106"/>
      <x:c r="W1" s="106"/>
      <x:c r="X1" s="106"/>
      <x:c r="Y1" s="106"/>
      <x:c r="Z1" s="106"/>
    </x:row>
    <x:row r="2" ht="28" customHeight="1">
      <x:c r="A2" s="107" t="str">
        <x:v>Scenario assumptions are synthetic and deliberately bounded by a guest-satisfaction guardrail.</x:v>
      </x:c>
      <x:c r="B2" s="107"/>
      <x:c r="C2" s="107"/>
      <x:c r="D2" s="107"/>
      <x:c r="E2" s="107"/>
      <x:c r="F2" s="107"/>
      <x:c r="G2" s="107"/>
      <x:c r="H2" s="106"/>
      <x:c r="I2" s="106"/>
      <x:c r="J2" s="106"/>
      <x:c r="K2" s="106"/>
      <x:c r="L2" s="106"/>
      <x:c r="M2" s="106"/>
      <x:c r="N2" s="106"/>
      <x:c r="O2" s="106"/>
      <x:c r="P2" s="106"/>
      <x:c r="Q2" s="106"/>
      <x:c r="R2" s="106"/>
      <x:c r="S2" s="106"/>
      <x:c r="T2" s="106"/>
      <x:c r="U2" s="106"/>
      <x:c r="V2" s="106"/>
      <x:c r="W2" s="106"/>
      <x:c r="X2" s="106"/>
      <x:c r="Y2" s="106"/>
      <x:c r="Z2" s="106"/>
    </x:row>
    <x:row r="3">
      <x:c r="A3" s="106"/>
      <x:c r="B3" s="106"/>
      <x:c r="C3" s="106"/>
      <x:c r="D3" s="106"/>
      <x:c r="E3" s="106"/>
      <x:c r="F3" s="106"/>
      <x:c r="G3" s="106"/>
      <x:c r="H3" s="106"/>
      <x:c r="I3" s="106"/>
      <x:c r="J3" s="106"/>
      <x:c r="K3" s="106"/>
      <x:c r="L3" s="106"/>
      <x:c r="M3" s="106"/>
      <x:c r="N3" s="106"/>
      <x:c r="O3" s="106"/>
      <x:c r="P3" s="106"/>
      <x:c r="Q3" s="106"/>
      <x:c r="R3" s="106"/>
      <x:c r="S3" s="106"/>
      <x:c r="T3" s="106"/>
      <x:c r="U3" s="106"/>
      <x:c r="V3" s="106"/>
      <x:c r="W3" s="106"/>
      <x:c r="X3" s="106"/>
      <x:c r="Y3" s="106"/>
      <x:c r="Z3" s="106"/>
    </x:row>
    <x:row r="4">
      <x:c r="A4" s="110" t="str">
        <x:v>Driver</x:v>
      </x:c>
      <x:c r="B4" s="110" t="str">
        <x:v>Unit</x:v>
      </x:c>
      <x:c r="C4" s="110" t="str">
        <x:v>Current Actual</x:v>
      </x:c>
      <x:c r="D4" s="110" t="str">
        <x:v>Conservative</x:v>
      </x:c>
      <x:c r="E4" s="110" t="str">
        <x:v>Moderate</x:v>
      </x:c>
      <x:c r="F4" s="110" t="str">
        <x:v>Stretch</x:v>
      </x:c>
      <x:c r="G4" s="110" t="str">
        <x:v>Rationale</x:v>
      </x:c>
      <x:c r="H4" s="106"/>
      <x:c r="I4" s="106"/>
      <x:c r="J4" s="106"/>
      <x:c r="K4" s="106"/>
      <x:c r="L4" s="106"/>
      <x:c r="M4" s="106"/>
      <x:c r="N4" s="106"/>
      <x:c r="O4" s="106"/>
      <x:c r="P4" s="106"/>
      <x:c r="Q4" s="106"/>
      <x:c r="R4" s="106"/>
      <x:c r="S4" s="106"/>
      <x:c r="T4" s="106"/>
      <x:c r="U4" s="106"/>
      <x:c r="V4" s="106"/>
      <x:c r="W4" s="106"/>
      <x:c r="X4" s="106"/>
      <x:c r="Y4" s="106"/>
      <x:c r="Z4" s="106"/>
    </x:row>
    <x:row r="5">
      <x:c r="A5" s="106" t="str">
        <x:v>Available room nights</x:v>
      </x:c>
      <x:c r="B5" s="106" t="str">
        <x:v>room nights</x:v>
      </x:c>
      <x:c r="C5" s="136" t="n">
        <x:f>'01_Inputs'!D31</x:f>
        <x:v>9000</x:v>
      </x:c>
      <x:c r="D5" s="118" t="n">
        <x:v>9000</x:v>
      </x:c>
      <x:c r="E5" s="118" t="n">
        <x:v>9000</x:v>
      </x:c>
      <x:c r="F5" s="118" t="n">
        <x:v>9000</x:v>
      </x:c>
      <x:c r="G5" s="106" t="str">
        <x:v>Capacity held constant</x:v>
      </x:c>
      <x:c r="H5" s="106"/>
      <x:c r="I5" s="106"/>
      <x:c r="J5" s="106"/>
      <x:c r="K5" s="106"/>
      <x:c r="L5" s="106"/>
      <x:c r="M5" s="106"/>
      <x:c r="N5" s="106"/>
      <x:c r="O5" s="106"/>
      <x:c r="P5" s="106"/>
      <x:c r="Q5" s="106"/>
      <x:c r="R5" s="106"/>
      <x:c r="S5" s="106"/>
      <x:c r="T5" s="106"/>
      <x:c r="U5" s="106"/>
      <x:c r="V5" s="106"/>
      <x:c r="W5" s="106"/>
      <x:c r="X5" s="106"/>
      <x:c r="Y5" s="106"/>
      <x:c r="Z5" s="106"/>
    </x:row>
    <x:row r="6">
      <x:c r="A6" s="106" t="str">
        <x:v>Occupancy</x:v>
      </x:c>
      <x:c r="B6" s="106" t="str">
        <x:v>%</x:v>
      </x:c>
      <x:c r="C6" s="137" t="n">
        <x:f>'01_Inputs'!D33</x:f>
        <x:v>0.8166666666666667</x:v>
      </x:c>
      <x:c r="D6" s="119" t="n">
        <x:v>0.817</x:v>
      </x:c>
      <x:c r="E6" s="119" t="n">
        <x:v>0.82</x:v>
      </x:c>
      <x:c r="F6" s="119" t="n">
        <x:v>0.825</x:v>
      </x:c>
      <x:c r="G6" s="106" t="str">
        <x:v>Small improvement only</x:v>
      </x:c>
      <x:c r="H6" s="106"/>
      <x:c r="I6" s="106"/>
      <x:c r="J6" s="106"/>
      <x:c r="K6" s="106"/>
      <x:c r="L6" s="106"/>
      <x:c r="M6" s="106"/>
      <x:c r="N6" s="106"/>
      <x:c r="O6" s="106"/>
      <x:c r="P6" s="106"/>
      <x:c r="Q6" s="106"/>
      <x:c r="R6" s="106"/>
      <x:c r="S6" s="106"/>
      <x:c r="T6" s="106"/>
      <x:c r="U6" s="106"/>
      <x:c r="V6" s="106"/>
      <x:c r="W6" s="106"/>
      <x:c r="X6" s="106"/>
      <x:c r="Y6" s="106"/>
      <x:c r="Z6" s="106"/>
    </x:row>
    <x:row r="7">
      <x:c r="A7" s="106" t="str">
        <x:v>ADR</x:v>
      </x:c>
      <x:c r="B7" s="106" t="str">
        <x:v>HK$/room</x:v>
      </x:c>
      <x:c r="C7" s="136" t="n">
        <x:f>'01_Inputs'!D34/'01_Inputs'!D32</x:f>
        <x:v>2400</x:v>
      </x:c>
      <x:c r="D7" s="118" t="n">
        <x:v>2405</x:v>
      </x:c>
      <x:c r="E7" s="118" t="n">
        <x:v>2420</x:v>
      </x:c>
      <x:c r="F7" s="118" t="n">
        <x:v>2450</x:v>
      </x:c>
      <x:c r="G7" s="106" t="str">
        <x:v>Avoid aggressive rate assumption</x:v>
      </x:c>
      <x:c r="H7" s="106"/>
      <x:c r="I7" s="106"/>
      <x:c r="J7" s="106"/>
      <x:c r="K7" s="106"/>
      <x:c r="L7" s="106"/>
      <x:c r="M7" s="106"/>
      <x:c r="N7" s="106"/>
      <x:c r="O7" s="106"/>
      <x:c r="P7" s="106"/>
      <x:c r="Q7" s="106"/>
      <x:c r="R7" s="106"/>
      <x:c r="S7" s="106"/>
      <x:c r="T7" s="106"/>
      <x:c r="U7" s="106"/>
      <x:c r="V7" s="106"/>
      <x:c r="W7" s="106"/>
      <x:c r="X7" s="106"/>
      <x:c r="Y7" s="106"/>
      <x:c r="Z7" s="106"/>
    </x:row>
    <x:row r="8">
      <x:c r="A8" s="106" t="str">
        <x:v>F&amp;B revenue</x:v>
      </x:c>
      <x:c r="B8" s="106" t="str">
        <x:v>HK$</x:v>
      </x:c>
      <x:c r="C8" s="136" t="n">
        <x:f>'01_Inputs'!D14</x:f>
        <x:v>8400000</x:v>
      </x:c>
      <x:c r="D8" s="118" t="n">
        <x:v>8420000</x:v>
      </x:c>
      <x:c r="E8" s="118" t="n">
        <x:v>8500000</x:v>
      </x:c>
      <x:c r="F8" s="118" t="n">
        <x:v>8650000</x:v>
      </x:c>
      <x:c r="G8" s="106" t="str">
        <x:v>Modest commercial uplift</x:v>
      </x:c>
      <x:c r="H8" s="106"/>
      <x:c r="I8" s="106"/>
      <x:c r="J8" s="106"/>
      <x:c r="K8" s="106"/>
      <x:c r="L8" s="106"/>
      <x:c r="M8" s="106"/>
      <x:c r="N8" s="106"/>
      <x:c r="O8" s="106"/>
      <x:c r="P8" s="106"/>
      <x:c r="Q8" s="106"/>
      <x:c r="R8" s="106"/>
      <x:c r="S8" s="106"/>
      <x:c r="T8" s="106"/>
      <x:c r="U8" s="106"/>
      <x:c r="V8" s="106"/>
      <x:c r="W8" s="106"/>
      <x:c r="X8" s="106"/>
      <x:c r="Y8" s="106"/>
      <x:c r="Z8" s="106"/>
    </x:row>
    <x:row r="9">
      <x:c r="A9" s="106" t="str">
        <x:v>Other revenue</x:v>
      </x:c>
      <x:c r="B9" s="106" t="str">
        <x:v>HK$</x:v>
      </x:c>
      <x:c r="C9" s="136" t="n">
        <x:f>'01_Inputs'!D15</x:f>
        <x:v>1900000</x:v>
      </x:c>
      <x:c r="D9" s="118" t="n">
        <x:v>1920000</x:v>
      </x:c>
      <x:c r="E9" s="118" t="n">
        <x:v>1950000</x:v>
      </x:c>
      <x:c r="F9" s="118" t="n">
        <x:v>1980000</x:v>
      </x:c>
      <x:c r="G9" s="106" t="str">
        <x:v>Secondary lever</x:v>
      </x:c>
      <x:c r="H9" s="106"/>
      <x:c r="I9" s="106"/>
      <x:c r="J9" s="106"/>
      <x:c r="K9" s="106"/>
      <x:c r="L9" s="106"/>
      <x:c r="M9" s="106"/>
      <x:c r="N9" s="106"/>
      <x:c r="O9" s="106"/>
      <x:c r="P9" s="106"/>
      <x:c r="Q9" s="106"/>
      <x:c r="R9" s="106"/>
      <x:c r="S9" s="106"/>
      <x:c r="T9" s="106"/>
      <x:c r="U9" s="106"/>
      <x:c r="V9" s="106"/>
      <x:c r="W9" s="106"/>
      <x:c r="X9" s="106"/>
      <x:c r="Y9" s="106"/>
      <x:c r="Z9" s="106"/>
    </x:row>
    <x:row r="10">
      <x:c r="A10" s="106" t="str">
        <x:v>Core labour hours</x:v>
      </x:c>
      <x:c r="B10" s="106" t="str">
        <x:v>hours</x:v>
      </x:c>
      <x:c r="C10" s="136" t="n">
        <x:f>'01_Inputs'!D16</x:f>
        <x:v>174000</x:v>
      </x:c>
      <x:c r="D10" s="118" t="n">
        <x:v>173500</x:v>
      </x:c>
      <x:c r="E10" s="118" t="n">
        <x:v>172000</x:v>
      </x:c>
      <x:c r="F10" s="118" t="n">
        <x:v>169500</x:v>
      </x:c>
      <x:c r="G10" s="106" t="str">
        <x:v>Rostering / demand alignment</x:v>
      </x:c>
      <x:c r="H10" s="106"/>
      <x:c r="I10" s="106"/>
      <x:c r="J10" s="106"/>
      <x:c r="K10" s="106"/>
      <x:c r="L10" s="106"/>
      <x:c r="M10" s="106"/>
      <x:c r="N10" s="106"/>
      <x:c r="O10" s="106"/>
      <x:c r="P10" s="106"/>
      <x:c r="Q10" s="106"/>
      <x:c r="R10" s="106"/>
      <x:c r="S10" s="106"/>
      <x:c r="T10" s="106"/>
      <x:c r="U10" s="106"/>
      <x:c r="V10" s="106"/>
      <x:c r="W10" s="106"/>
      <x:c r="X10" s="106"/>
      <x:c r="Y10" s="106"/>
      <x:c r="Z10" s="106"/>
    </x:row>
    <x:row r="11">
      <x:c r="A11" s="106" t="str">
        <x:v>Core labour rate</x:v>
      </x:c>
      <x:c r="B11" s="106" t="str">
        <x:v>HK$/hour</x:v>
      </x:c>
      <x:c r="C11" s="136" t="n">
        <x:f>'01_Inputs'!D17</x:f>
        <x:v>41</x:v>
      </x:c>
      <x:c r="D11" s="118" t="n">
        <x:v>41</x:v>
      </x:c>
      <x:c r="E11" s="118" t="n">
        <x:v>41</x:v>
      </x:c>
      <x:c r="F11" s="118" t="n">
        <x:v>41</x:v>
      </x:c>
      <x:c r="G11" s="106" t="str">
        <x:v>Rate held constant</x:v>
      </x:c>
      <x:c r="H11" s="106"/>
      <x:c r="I11" s="106"/>
      <x:c r="J11" s="106"/>
      <x:c r="K11" s="106"/>
      <x:c r="L11" s="106"/>
      <x:c r="M11" s="106"/>
      <x:c r="N11" s="106"/>
      <x:c r="O11" s="106"/>
      <x:c r="P11" s="106"/>
      <x:c r="Q11" s="106"/>
      <x:c r="R11" s="106"/>
      <x:c r="S11" s="106"/>
      <x:c r="T11" s="106"/>
      <x:c r="U11" s="106"/>
      <x:c r="V11" s="106"/>
      <x:c r="W11" s="106"/>
      <x:c r="X11" s="106"/>
      <x:c r="Y11" s="106"/>
      <x:c r="Z11" s="106"/>
    </x:row>
    <x:row r="12">
      <x:c r="A12" s="106" t="str">
        <x:v>Overtime hours</x:v>
      </x:c>
      <x:c r="B12" s="106" t="str">
        <x:v>hours</x:v>
      </x:c>
      <x:c r="C12" s="136" t="n">
        <x:f>'01_Inputs'!D18</x:f>
        <x:v>3400</x:v>
      </x:c>
      <x:c r="D12" s="118" t="n">
        <x:v>3250</x:v>
      </x:c>
      <x:c r="E12" s="118" t="n">
        <x:v>2950</x:v>
      </x:c>
      <x:c r="F12" s="118" t="n">
        <x:v>2500</x:v>
      </x:c>
      <x:c r="G12" s="106" t="str">
        <x:v>Reduce avoidable OT</x:v>
      </x:c>
      <x:c r="H12" s="106"/>
      <x:c r="I12" s="106"/>
      <x:c r="J12" s="106"/>
      <x:c r="K12" s="106"/>
      <x:c r="L12" s="106"/>
      <x:c r="M12" s="106"/>
      <x:c r="N12" s="106"/>
      <x:c r="O12" s="106"/>
      <x:c r="P12" s="106"/>
      <x:c r="Q12" s="106"/>
      <x:c r="R12" s="106"/>
      <x:c r="S12" s="106"/>
      <x:c r="T12" s="106"/>
      <x:c r="U12" s="106"/>
      <x:c r="V12" s="106"/>
      <x:c r="W12" s="106"/>
      <x:c r="X12" s="106"/>
      <x:c r="Y12" s="106"/>
      <x:c r="Z12" s="106"/>
    </x:row>
    <x:row r="13">
      <x:c r="A13" s="106" t="str">
        <x:v>Overtime premium</x:v>
      </x:c>
      <x:c r="B13" s="106" t="str">
        <x:v>HK$/hour</x:v>
      </x:c>
      <x:c r="C13" s="136" t="n">
        <x:f>'01_Inputs'!D19</x:f>
        <x:v>22</x:v>
      </x:c>
      <x:c r="D13" s="118" t="n">
        <x:v>22</x:v>
      </x:c>
      <x:c r="E13" s="118" t="n">
        <x:v>22</x:v>
      </x:c>
      <x:c r="F13" s="118" t="n">
        <x:v>22</x:v>
      </x:c>
      <x:c r="G13" s="106" t="str">
        <x:v>Rate held constant</x:v>
      </x:c>
      <x:c r="H13" s="106"/>
      <x:c r="I13" s="106"/>
      <x:c r="J13" s="106"/>
      <x:c r="K13" s="106"/>
      <x:c r="L13" s="106"/>
      <x:c r="M13" s="106"/>
      <x:c r="N13" s="106"/>
      <x:c r="O13" s="106"/>
      <x:c r="P13" s="106"/>
      <x:c r="Q13" s="106"/>
      <x:c r="R13" s="106"/>
      <x:c r="S13" s="106"/>
      <x:c r="T13" s="106"/>
      <x:c r="U13" s="106"/>
      <x:c r="V13" s="106"/>
      <x:c r="W13" s="106"/>
      <x:c r="X13" s="106"/>
      <x:c r="Y13" s="106"/>
      <x:c r="Z13" s="106"/>
    </x:row>
    <x:row r="14">
      <x:c r="A14" s="106" t="str">
        <x:v>Agency hours</x:v>
      </x:c>
      <x:c r="B14" s="106" t="str">
        <x:v>hours</x:v>
      </x:c>
      <x:c r="C14" s="136" t="n">
        <x:f>'01_Inputs'!D20</x:f>
        <x:v>15200</x:v>
      </x:c>
      <x:c r="D14" s="118" t="n">
        <x:v>14200</x:v>
      </x:c>
      <x:c r="E14" s="118" t="n">
        <x:v>12500</x:v>
      </x:c>
      <x:c r="F14" s="118" t="n">
        <x:v>10500</x:v>
      </x:c>
      <x:c r="G14" s="106" t="str">
        <x:v>Reduce agency dependency</x:v>
      </x:c>
      <x:c r="H14" s="106"/>
      <x:c r="I14" s="106"/>
      <x:c r="J14" s="106"/>
      <x:c r="K14" s="106"/>
      <x:c r="L14" s="106"/>
      <x:c r="M14" s="106"/>
      <x:c r="N14" s="106"/>
      <x:c r="O14" s="106"/>
      <x:c r="P14" s="106"/>
      <x:c r="Q14" s="106"/>
      <x:c r="R14" s="106"/>
      <x:c r="S14" s="106"/>
      <x:c r="T14" s="106"/>
      <x:c r="U14" s="106"/>
      <x:c r="V14" s="106"/>
      <x:c r="W14" s="106"/>
      <x:c r="X14" s="106"/>
      <x:c r="Y14" s="106"/>
      <x:c r="Z14" s="106"/>
    </x:row>
    <x:row r="15">
      <x:c r="A15" s="106" t="str">
        <x:v>Agency rate</x:v>
      </x:c>
      <x:c r="B15" s="106" t="str">
        <x:v>HK$/hour</x:v>
      </x:c>
      <x:c r="C15" s="136" t="n">
        <x:f>'01_Inputs'!D21</x:f>
        <x:v>60</x:v>
      </x:c>
      <x:c r="D15" s="118" t="n">
        <x:v>59</x:v>
      </x:c>
      <x:c r="E15" s="118" t="n">
        <x:v>58</x:v>
      </x:c>
      <x:c r="F15" s="118" t="n">
        <x:v>57</x:v>
      </x:c>
      <x:c r="G15" s="106" t="str">
        <x:v>Procurement / mix effect</x:v>
      </x:c>
      <x:c r="H15" s="106"/>
      <x:c r="I15" s="106"/>
      <x:c r="J15" s="106"/>
      <x:c r="K15" s="106"/>
      <x:c r="L15" s="106"/>
      <x:c r="M15" s="106"/>
      <x:c r="N15" s="106"/>
      <x:c r="O15" s="106"/>
      <x:c r="P15" s="106"/>
      <x:c r="Q15" s="106"/>
      <x:c r="R15" s="106"/>
      <x:c r="S15" s="106"/>
      <x:c r="T15" s="106"/>
      <x:c r="U15" s="106"/>
      <x:c r="V15" s="106"/>
      <x:c r="W15" s="106"/>
      <x:c r="X15" s="106"/>
      <x:c r="Y15" s="106"/>
      <x:c r="Z15" s="106"/>
    </x:row>
    <x:row r="16">
      <x:c r="A16" s="106" t="str">
        <x:v>Other labour</x:v>
      </x:c>
      <x:c r="B16" s="106" t="str">
        <x:v>HK$</x:v>
      </x:c>
      <x:c r="C16" s="136" t="n">
        <x:f>'01_Inputs'!D22</x:f>
        <x:v>1119200</x:v>
      </x:c>
      <x:c r="D16" s="118" t="n">
        <x:v>1110000</x:v>
      </x:c>
      <x:c r="E16" s="118" t="n">
        <x:v>1095000</x:v>
      </x:c>
      <x:c r="F16" s="118" t="n">
        <x:v>1070000</x:v>
      </x:c>
      <x:c r="G16" s="106" t="str">
        <x:v>Controlled reduction</x:v>
      </x:c>
      <x:c r="H16" s="106"/>
      <x:c r="I16" s="106"/>
      <x:c r="J16" s="106"/>
      <x:c r="K16" s="106"/>
      <x:c r="L16" s="106"/>
      <x:c r="M16" s="106"/>
      <x:c r="N16" s="106"/>
      <x:c r="O16" s="106"/>
      <x:c r="P16" s="106"/>
      <x:c r="Q16" s="106"/>
      <x:c r="R16" s="106"/>
      <x:c r="S16" s="106"/>
      <x:c r="T16" s="106"/>
      <x:c r="U16" s="106"/>
      <x:c r="V16" s="106"/>
      <x:c r="W16" s="106"/>
      <x:c r="X16" s="106"/>
      <x:c r="Y16" s="106"/>
      <x:c r="Z16" s="106"/>
    </x:row>
    <x:row r="17">
      <x:c r="A17" s="106" t="str">
        <x:v>F&amp;B cost %</x:v>
      </x:c>
      <x:c r="B17" s="106" t="str">
        <x:v>%</x:v>
      </x:c>
      <x:c r="C17" s="137" t="n">
        <x:f>'01_Inputs'!D23</x:f>
        <x:v>0.35</x:v>
      </x:c>
      <x:c r="D17" s="119" t="n">
        <x:v>0.347</x:v>
      </x:c>
      <x:c r="E17" s="119" t="n">
        <x:v>0.34</x:v>
      </x:c>
      <x:c r="F17" s="119" t="n">
        <x:v>0.333</x:v>
      </x:c>
      <x:c r="G17" s="106" t="str">
        <x:v>Procurement / mix / waste</x:v>
      </x:c>
      <x:c r="H17" s="106"/>
      <x:c r="I17" s="106"/>
      <x:c r="J17" s="106"/>
      <x:c r="K17" s="106"/>
      <x:c r="L17" s="106"/>
      <x:c r="M17" s="106"/>
      <x:c r="N17" s="106"/>
      <x:c r="O17" s="106"/>
      <x:c r="P17" s="106"/>
      <x:c r="Q17" s="106"/>
      <x:c r="R17" s="106"/>
      <x:c r="S17" s="106"/>
      <x:c r="T17" s="106"/>
      <x:c r="U17" s="106"/>
      <x:c r="V17" s="106"/>
      <x:c r="W17" s="106"/>
      <x:c r="X17" s="106"/>
      <x:c r="Y17" s="106"/>
      <x:c r="Z17" s="106"/>
    </x:row>
    <x:row r="18">
      <x:c r="A18" s="106" t="str">
        <x:v>Utilities</x:v>
      </x:c>
      <x:c r="B18" s="106" t="str">
        <x:v>HK$</x:v>
      </x:c>
      <x:c r="C18" s="136" t="n">
        <x:f>'01_Inputs'!D24</x:f>
        <x:v>1300000</x:v>
      </x:c>
      <x:c r="D18" s="118" t="n">
        <x:v>1295000</x:v>
      </x:c>
      <x:c r="E18" s="118" t="n">
        <x:v>1280000</x:v>
      </x:c>
      <x:c r="F18" s="118" t="n">
        <x:v>1260000</x:v>
      </x:c>
      <x:c r="G18" s="106" t="str">
        <x:v>Efficiency actions</x:v>
      </x:c>
      <x:c r="H18" s="106"/>
      <x:c r="I18" s="106"/>
      <x:c r="J18" s="106"/>
      <x:c r="K18" s="106"/>
      <x:c r="L18" s="106"/>
      <x:c r="M18" s="106"/>
      <x:c r="N18" s="106"/>
      <x:c r="O18" s="106"/>
      <x:c r="P18" s="106"/>
      <x:c r="Q18" s="106"/>
      <x:c r="R18" s="106"/>
      <x:c r="S18" s="106"/>
      <x:c r="T18" s="106"/>
      <x:c r="U18" s="106"/>
      <x:c r="V18" s="106"/>
      <x:c r="W18" s="106"/>
      <x:c r="X18" s="106"/>
      <x:c r="Y18" s="106"/>
      <x:c r="Z18" s="106"/>
    </x:row>
    <x:row r="19">
      <x:c r="A19" s="106" t="str">
        <x:v>Other operating expense</x:v>
      </x:c>
      <x:c r="B19" s="106" t="str">
        <x:v>HK$</x:v>
      </x:c>
      <x:c r="C19" s="136" t="n">
        <x:f>'01_Inputs'!D25</x:f>
        <x:v>5160000</x:v>
      </x:c>
      <x:c r="D19" s="118" t="n">
        <x:v>5150000</x:v>
      </x:c>
      <x:c r="E19" s="118" t="n">
        <x:v>5120000</x:v>
      </x:c>
      <x:c r="F19" s="118" t="n">
        <x:v>5080000</x:v>
      </x:c>
      <x:c r="G19" s="106" t="str">
        <x:v>Targeted controls</x:v>
      </x:c>
      <x:c r="H19" s="106"/>
      <x:c r="I19" s="106"/>
      <x:c r="J19" s="106"/>
      <x:c r="K19" s="106"/>
      <x:c r="L19" s="106"/>
      <x:c r="M19" s="106"/>
      <x:c r="N19" s="106"/>
      <x:c r="O19" s="106"/>
      <x:c r="P19" s="106"/>
      <x:c r="Q19" s="106"/>
      <x:c r="R19" s="106"/>
      <x:c r="S19" s="106"/>
      <x:c r="T19" s="106"/>
      <x:c r="U19" s="106"/>
      <x:c r="V19" s="106"/>
      <x:c r="W19" s="106"/>
      <x:c r="X19" s="106"/>
      <x:c r="Y19" s="106"/>
      <x:c r="Z19" s="106"/>
    </x:row>
    <x:row r="20">
      <x:c r="A20" s="106" t="str">
        <x:v>Guest satisfaction</x:v>
      </x:c>
      <x:c r="B20" s="106" t="str">
        <x:v>score</x:v>
      </x:c>
      <x:c r="C20" s="145" t="n">
        <x:f>'01_Inputs'!D26</x:f>
        <x:v>88</x:v>
      </x:c>
      <x:c r="D20" s="120" t="n">
        <x:v>88.5</x:v>
      </x:c>
      <x:c r="E20" s="120" t="n">
        <x:v>88.5</x:v>
      </x:c>
      <x:c r="F20" s="120" t="n">
        <x:v>87.5</x:v>
      </x:c>
      <x:c r="G20" s="106" t="str">
        <x:v>Service quality guardrail</x:v>
      </x:c>
      <x:c r="H20" s="106"/>
      <x:c r="I20" s="106"/>
      <x:c r="J20" s="106"/>
      <x:c r="K20" s="106"/>
      <x:c r="L20" s="106"/>
      <x:c r="M20" s="106"/>
      <x:c r="N20" s="106"/>
      <x:c r="O20" s="106"/>
      <x:c r="P20" s="106"/>
      <x:c r="Q20" s="106"/>
      <x:c r="R20" s="106"/>
      <x:c r="S20" s="106"/>
      <x:c r="T20" s="106"/>
      <x:c r="U20" s="106"/>
      <x:c r="V20" s="106"/>
      <x:c r="W20" s="106"/>
      <x:c r="X20" s="106"/>
      <x:c r="Y20" s="106"/>
      <x:c r="Z20" s="106"/>
    </x:row>
    <x:row r="21">
      <x:c r="A21" s="106" t="str">
        <x:v>Guardrail threshold</x:v>
      </x:c>
      <x:c r="B21" s="106" t="str">
        <x:v>score</x:v>
      </x:c>
      <x:c r="C21" s="145" t="n">
        <x:f>88</x:f>
        <x:v>88</x:v>
      </x:c>
      <x:c r="D21" s="120" t="n">
        <x:v>88</x:v>
      </x:c>
      <x:c r="E21" s="120" t="n">
        <x:v>88</x:v>
      </x:c>
      <x:c r="F21" s="120" t="n">
        <x:v>88</x:v>
      </x:c>
      <x:c r="G21" s="106" t="str">
        <x:v>Stop/redesign if breached</x:v>
      </x:c>
      <x:c r="H21" s="106"/>
      <x:c r="I21" s="106"/>
      <x:c r="J21" s="106"/>
      <x:c r="K21" s="106"/>
      <x:c r="L21" s="106"/>
      <x:c r="M21" s="106"/>
      <x:c r="N21" s="106"/>
      <x:c r="O21" s="106"/>
      <x:c r="P21" s="106"/>
      <x:c r="Q21" s="106"/>
      <x:c r="R21" s="106"/>
      <x:c r="S21" s="106"/>
      <x:c r="T21" s="106"/>
      <x:c r="U21" s="106"/>
      <x:c r="V21" s="106"/>
      <x:c r="W21" s="106"/>
      <x:c r="X21" s="106"/>
      <x:c r="Y21" s="106"/>
      <x:c r="Z21" s="106"/>
    </x:row>
    <x:row r="22">
      <x:c r="A22" s="106"/>
      <x:c r="B22" s="106"/>
      <x:c r="C22" s="106"/>
      <x:c r="D22" s="106"/>
      <x:c r="E22" s="106"/>
      <x:c r="F22" s="106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106"/>
      <x:c r="Q22" s="106"/>
      <x:c r="R22" s="106"/>
      <x:c r="S22" s="106"/>
      <x:c r="T22" s="106"/>
      <x:c r="U22" s="106"/>
      <x:c r="V22" s="106"/>
      <x:c r="W22" s="106"/>
      <x:c r="X22" s="106"/>
      <x:c r="Y22" s="106"/>
      <x:c r="Z22" s="106"/>
    </x:row>
    <x:row r="23">
      <x:c r="A23" s="106"/>
      <x:c r="B23" s="106"/>
      <x:c r="C23" s="106"/>
      <x:c r="D23" s="106"/>
      <x:c r="E23" s="106"/>
      <x:c r="F23" s="106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106"/>
      <x:c r="Q23" s="106"/>
      <x:c r="R23" s="106"/>
      <x:c r="S23" s="106"/>
      <x:c r="T23" s="106"/>
      <x:c r="U23" s="106"/>
      <x:c r="V23" s="106"/>
      <x:c r="W23" s="106"/>
      <x:c r="X23" s="106"/>
      <x:c r="Y23" s="106"/>
      <x:c r="Z23" s="106"/>
    </x:row>
    <x:row r="24">
      <x:c r="A24" s="108" t="str">
        <x:v>Calculated scenario outputs</x:v>
      </x:c>
      <x:c r="B24" s="108"/>
      <x:c r="C24" s="108"/>
      <x:c r="D24" s="108"/>
      <x:c r="E24" s="108"/>
      <x:c r="F24" s="108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106"/>
      <x:c r="Q24" s="106"/>
      <x:c r="R24" s="106"/>
      <x:c r="S24" s="106"/>
      <x:c r="T24" s="106"/>
      <x:c r="U24" s="106"/>
      <x:c r="V24" s="106"/>
      <x:c r="W24" s="106"/>
      <x:c r="X24" s="106"/>
      <x:c r="Y24" s="106"/>
      <x:c r="Z24" s="106"/>
    </x:row>
    <x:row r="25">
      <x:c r="A25" s="110" t="str">
        <x:v>Output</x:v>
      </x:c>
      <x:c r="B25" s="110" t="str">
        <x:v>Unit</x:v>
      </x:c>
      <x:c r="C25" s="110" t="str">
        <x:v>Current Actual</x:v>
      </x:c>
      <x:c r="D25" s="110" t="str">
        <x:v>Conservative</x:v>
      </x:c>
      <x:c r="E25" s="110" t="str">
        <x:v>Moderate</x:v>
      </x:c>
      <x:c r="F25" s="110" t="str">
        <x:v>Stretch</x:v>
      </x:c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106"/>
      <x:c r="Q25" s="106"/>
      <x:c r="R25" s="106"/>
      <x:c r="S25" s="106"/>
      <x:c r="T25" s="106"/>
      <x:c r="U25" s="106"/>
      <x:c r="V25" s="106"/>
      <x:c r="W25" s="106"/>
      <x:c r="X25" s="106"/>
      <x:c r="Y25" s="106"/>
      <x:c r="Z25" s="106"/>
    </x:row>
    <x:row r="26">
      <x:c r="A26" s="106" t="str">
        <x:v>Rooms sold</x:v>
      </x:c>
      <x:c r="B26" s="106" t="str">
        <x:v>room nights</x:v>
      </x:c>
      <x:c r="C26" s="121" t="n">
        <x:f>C5*C6</x:f>
        <x:v>7350</x:v>
      </x:c>
      <x:c r="D26" s="121" t="n">
        <x:f>D5*D6</x:f>
        <x:v>7352.999999999999</x:v>
      </x:c>
      <x:c r="E26" s="121" t="n">
        <x:f>E5*E6</x:f>
        <x:v>7380</x:v>
      </x:c>
      <x:c r="F26" s="121" t="n">
        <x:f>F5*F6</x:f>
        <x:v>7425</x:v>
      </x:c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106"/>
      <x:c r="Q26" s="106"/>
      <x:c r="R26" s="106"/>
      <x:c r="S26" s="106"/>
      <x:c r="T26" s="106"/>
      <x:c r="U26" s="106"/>
      <x:c r="V26" s="106"/>
      <x:c r="W26" s="106"/>
      <x:c r="X26" s="106"/>
      <x:c r="Y26" s="106"/>
      <x:c r="Z26" s="106"/>
    </x:row>
    <x:row r="27">
      <x:c r="A27" s="106" t="str">
        <x:v>Rooms revenue</x:v>
      </x:c>
      <x:c r="B27" s="106" t="str">
        <x:v>HK$</x:v>
      </x:c>
      <x:c r="C27" s="121" t="n">
        <x:f>C26*C7</x:f>
        <x:v>17640000</x:v>
      </x:c>
      <x:c r="D27" s="121" t="n">
        <x:f>D26*D7</x:f>
        <x:v>17683964.999999996</x:v>
      </x:c>
      <x:c r="E27" s="121" t="n">
        <x:f>E26*E7</x:f>
        <x:v>17859600</x:v>
      </x:c>
      <x:c r="F27" s="121" t="n">
        <x:f>F26*F7</x:f>
        <x:v>18191250</x:v>
      </x:c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106"/>
      <x:c r="Q27" s="106"/>
      <x:c r="R27" s="106"/>
      <x:c r="S27" s="106"/>
      <x:c r="T27" s="106"/>
      <x:c r="U27" s="106"/>
      <x:c r="V27" s="106"/>
      <x:c r="W27" s="106"/>
      <x:c r="X27" s="106"/>
      <x:c r="Y27" s="106"/>
      <x:c r="Z27" s="106"/>
    </x:row>
    <x:row r="28">
      <x:c r="A28" s="106" t="str">
        <x:v>Total revenue</x:v>
      </x:c>
      <x:c r="B28" s="106" t="str">
        <x:v>HK$</x:v>
      </x:c>
      <x:c r="C28" s="121" t="n">
        <x:f>C27+C8+C9</x:f>
        <x:v>27940000</x:v>
      </x:c>
      <x:c r="D28" s="121" t="n">
        <x:f>D27+D8+D9</x:f>
        <x:v>28023964.999999996</x:v>
      </x:c>
      <x:c r="E28" s="121" t="n">
        <x:f>E27+E8+E9</x:f>
        <x:v>28309600</x:v>
      </x:c>
      <x:c r="F28" s="121" t="n">
        <x:f>F27+F8+F9</x:f>
        <x:v>28821250</x:v>
      </x:c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106"/>
      <x:c r="Q28" s="106"/>
      <x:c r="R28" s="106"/>
      <x:c r="S28" s="106"/>
      <x:c r="T28" s="106"/>
      <x:c r="U28" s="106"/>
      <x:c r="V28" s="106"/>
      <x:c r="W28" s="106"/>
      <x:c r="X28" s="106"/>
      <x:c r="Y28" s="106"/>
      <x:c r="Z28" s="106"/>
    </x:row>
    <x:row r="29">
      <x:c r="A29" s="106" t="str">
        <x:v>Core labour</x:v>
      </x:c>
      <x:c r="B29" s="106" t="str">
        <x:v>HK$</x:v>
      </x:c>
      <x:c r="C29" s="121" t="n">
        <x:f>C10*C11</x:f>
        <x:v>7134000</x:v>
      </x:c>
      <x:c r="D29" s="121" t="n">
        <x:f>D10*D11</x:f>
        <x:v>7113500</x:v>
      </x:c>
      <x:c r="E29" s="121" t="n">
        <x:f>E10*E11</x:f>
        <x:v>7052000</x:v>
      </x:c>
      <x:c r="F29" s="121" t="n">
        <x:f>F10*F11</x:f>
        <x:v>6949500</x:v>
      </x:c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106"/>
      <x:c r="Q29" s="106"/>
      <x:c r="R29" s="106"/>
      <x:c r="S29" s="106"/>
      <x:c r="T29" s="106"/>
      <x:c r="U29" s="106"/>
      <x:c r="V29" s="106"/>
      <x:c r="W29" s="106"/>
      <x:c r="X29" s="106"/>
      <x:c r="Y29" s="106"/>
      <x:c r="Z29" s="106"/>
    </x:row>
    <x:row r="30">
      <x:c r="A30" s="106" t="str">
        <x:v>OT premium</x:v>
      </x:c>
      <x:c r="B30" s="106" t="str">
        <x:v>HK$</x:v>
      </x:c>
      <x:c r="C30" s="121" t="n">
        <x:f>C12*C13</x:f>
        <x:v>74800</x:v>
      </x:c>
      <x:c r="D30" s="121" t="n">
        <x:f>D12*D13</x:f>
        <x:v>71500</x:v>
      </x:c>
      <x:c r="E30" s="121" t="n">
        <x:f>E12*E13</x:f>
        <x:v>64900</x:v>
      </x:c>
      <x:c r="F30" s="121" t="n">
        <x:f>F12*F13</x:f>
        <x:v>55000</x:v>
      </x:c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106"/>
      <x:c r="Q30" s="106"/>
      <x:c r="R30" s="106"/>
      <x:c r="S30" s="106"/>
      <x:c r="T30" s="106"/>
      <x:c r="U30" s="106"/>
      <x:c r="V30" s="106"/>
      <x:c r="W30" s="106"/>
      <x:c r="X30" s="106"/>
      <x:c r="Y30" s="106"/>
      <x:c r="Z30" s="106"/>
    </x:row>
    <x:row r="31">
      <x:c r="A31" s="106" t="str">
        <x:v>Agency labour</x:v>
      </x:c>
      <x:c r="B31" s="106" t="str">
        <x:v>HK$</x:v>
      </x:c>
      <x:c r="C31" s="121" t="n">
        <x:f>C14*C15</x:f>
        <x:v>912000</x:v>
      </x:c>
      <x:c r="D31" s="121" t="n">
        <x:f>D14*D15</x:f>
        <x:v>837800</x:v>
      </x:c>
      <x:c r="E31" s="121" t="n">
        <x:f>E14*E15</x:f>
        <x:v>725000</x:v>
      </x:c>
      <x:c r="F31" s="121" t="n">
        <x:f>F14*F15</x:f>
        <x:v>598500</x:v>
      </x:c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106"/>
      <x:c r="Q31" s="106"/>
      <x:c r="R31" s="106"/>
      <x:c r="S31" s="106"/>
      <x:c r="T31" s="106"/>
      <x:c r="U31" s="106"/>
      <x:c r="V31" s="106"/>
      <x:c r="W31" s="106"/>
      <x:c r="X31" s="106"/>
      <x:c r="Y31" s="106"/>
      <x:c r="Z31" s="106"/>
    </x:row>
    <x:row r="32">
      <x:c r="A32" s="106" t="str">
        <x:v>Total labour</x:v>
      </x:c>
      <x:c r="B32" s="106" t="str">
        <x:v>HK$</x:v>
      </x:c>
      <x:c r="C32" s="121" t="n">
        <x:f>C29+C30+C31+C16</x:f>
        <x:v>9240000</x:v>
      </x:c>
      <x:c r="D32" s="121" t="n">
        <x:f>D29+D30+D31+D16</x:f>
        <x:v>9132800</x:v>
      </x:c>
      <x:c r="E32" s="121" t="n">
        <x:f>E29+E30+E31+E16</x:f>
        <x:v>8936900</x:v>
      </x:c>
      <x:c r="F32" s="121" t="n">
        <x:f>F29+F30+F31+F16</x:f>
        <x:v>8673000</x:v>
      </x:c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106"/>
      <x:c r="Q32" s="106"/>
      <x:c r="R32" s="106"/>
      <x:c r="S32" s="106"/>
      <x:c r="T32" s="106"/>
      <x:c r="U32" s="106"/>
      <x:c r="V32" s="106"/>
      <x:c r="W32" s="106"/>
      <x:c r="X32" s="106"/>
      <x:c r="Y32" s="106"/>
      <x:c r="Z32" s="106"/>
    </x:row>
    <x:row r="33">
      <x:c r="A33" s="106" t="str">
        <x:v>F&amp;B cost</x:v>
      </x:c>
      <x:c r="B33" s="106" t="str">
        <x:v>HK$</x:v>
      </x:c>
      <x:c r="C33" s="121" t="n">
        <x:f>C8*C17</x:f>
        <x:v>2940000</x:v>
      </x:c>
      <x:c r="D33" s="121" t="n">
        <x:f>D8*D17</x:f>
        <x:v>2921740</x:v>
      </x:c>
      <x:c r="E33" s="121" t="n">
        <x:f>E8*E17</x:f>
        <x:v>2890000</x:v>
      </x:c>
      <x:c r="F33" s="121" t="n">
        <x:f>F8*F17</x:f>
        <x:v>2880450</x:v>
      </x:c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106"/>
      <x:c r="Q33" s="106"/>
      <x:c r="R33" s="106"/>
      <x:c r="S33" s="106"/>
      <x:c r="T33" s="106"/>
      <x:c r="U33" s="106"/>
      <x:c r="V33" s="106"/>
      <x:c r="W33" s="106"/>
      <x:c r="X33" s="106"/>
      <x:c r="Y33" s="106"/>
      <x:c r="Z33" s="106"/>
    </x:row>
    <x:row r="34">
      <x:c r="A34" s="106" t="str">
        <x:v>Total operating cost</x:v>
      </x:c>
      <x:c r="B34" s="106" t="str">
        <x:v>HK$</x:v>
      </x:c>
      <x:c r="C34" s="121" t="n">
        <x:f>C32+C33+C18+C19</x:f>
        <x:v>18640000</x:v>
      </x:c>
      <x:c r="D34" s="121" t="n">
        <x:f>D32+D33+D18+D19</x:f>
        <x:v>18499540</x:v>
      </x:c>
      <x:c r="E34" s="121" t="n">
        <x:f>E32+E33+E18+E19</x:f>
        <x:v>18226900</x:v>
      </x:c>
      <x:c r="F34" s="121" t="n">
        <x:f>F32+F33+F18+F19</x:f>
        <x:v>17893450</x:v>
      </x:c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106"/>
      <x:c r="Q34" s="106"/>
      <x:c r="R34" s="106"/>
      <x:c r="S34" s="106"/>
      <x:c r="T34" s="106"/>
      <x:c r="U34" s="106"/>
      <x:c r="V34" s="106"/>
      <x:c r="W34" s="106"/>
      <x:c r="X34" s="106"/>
      <x:c r="Y34" s="106"/>
      <x:c r="Z34" s="106"/>
    </x:row>
    <x:row r="35">
      <x:c r="A35" s="106" t="str">
        <x:v>GOP</x:v>
      </x:c>
      <x:c r="B35" s="106" t="str">
        <x:v>HK$</x:v>
      </x:c>
      <x:c r="C35" s="121" t="n">
        <x:f>C28-C34</x:f>
        <x:v>9300000</x:v>
      </x:c>
      <x:c r="D35" s="121" t="n">
        <x:f>D28-D34</x:f>
        <x:v>9524424.999999996</x:v>
      </x:c>
      <x:c r="E35" s="121" t="n">
        <x:f>E28-E34</x:f>
        <x:v>10082700</x:v>
      </x:c>
      <x:c r="F35" s="121" t="n">
        <x:f>F28-F34</x:f>
        <x:v>10927800</x:v>
      </x:c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106"/>
      <x:c r="Q35" s="106"/>
      <x:c r="R35" s="106"/>
      <x:c r="S35" s="106"/>
      <x:c r="T35" s="106"/>
      <x:c r="U35" s="106"/>
      <x:c r="V35" s="106"/>
      <x:c r="W35" s="106"/>
      <x:c r="X35" s="106"/>
      <x:c r="Y35" s="106"/>
      <x:c r="Z35" s="106"/>
    </x:row>
    <x:row r="36">
      <x:c r="A36" s="106" t="str">
        <x:v>GOP margin</x:v>
      </x:c>
      <x:c r="B36" s="106" t="str">
        <x:v>%</x:v>
      </x:c>
      <x:c r="C36" s="122" t="n">
        <x:f>C35/C28</x:f>
        <x:v>0.33285612025769507</x:v>
      </x:c>
      <x:c r="D36" s="122" t="n">
        <x:f>D35/D28</x:f>
        <x:v>0.3398671458517736</x:v>
      </x:c>
      <x:c r="E36" s="122" t="n">
        <x:f>E35/E28</x:f>
        <x:v>0.35615833498177296</x:v>
      </x:c>
      <x:c r="F36" s="122" t="n">
        <x:f>F35/F28</x:f>
        <x:v>0.3791577395151147</x:v>
      </x:c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106"/>
      <x:c r="Q36" s="106"/>
      <x:c r="R36" s="106"/>
      <x:c r="S36" s="106"/>
      <x:c r="T36" s="106"/>
      <x:c r="U36" s="106"/>
      <x:c r="V36" s="106"/>
      <x:c r="W36" s="106"/>
      <x:c r="X36" s="106"/>
      <x:c r="Y36" s="106"/>
      <x:c r="Z36" s="106"/>
    </x:row>
    <x:row r="37">
      <x:c r="A37" s="106" t="str">
        <x:v>Annualised GOP uplift vs Current</x:v>
      </x:c>
      <x:c r="B37" s="106" t="str">
        <x:v>HK$</x:v>
      </x:c>
      <x:c r="C37" s="121" t="n">
        <x:f>0</x:f>
        <x:v>0</x:v>
      </x:c>
      <x:c r="D37" s="121" t="n">
        <x:f>(D35-$C$35)*12</x:f>
        <x:v>2693099.9999999553</x:v>
      </x:c>
      <x:c r="E37" s="121" t="n">
        <x:f>(E35-$C$35)*12</x:f>
        <x:v>9392400</x:v>
      </x:c>
      <x:c r="F37" s="121" t="n">
        <x:f>(F35-$C$35)*12</x:f>
        <x:v>19533600</x:v>
      </x:c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106"/>
      <x:c r="Q37" s="106"/>
      <x:c r="R37" s="106"/>
      <x:c r="S37" s="106"/>
      <x:c r="T37" s="106"/>
      <x:c r="U37" s="106"/>
      <x:c r="V37" s="106"/>
      <x:c r="W37" s="106"/>
      <x:c r="X37" s="106"/>
      <x:c r="Y37" s="106"/>
      <x:c r="Z37" s="106"/>
    </x:row>
    <x:row r="38">
      <x:c r="A38" s="106" t="str">
        <x:v>Guardrail status</x:v>
      </x:c>
      <x:c r="B38" s="106" t="str">
        <x:v>text</x:v>
      </x:c>
      <x:c r="C38" s="146" t="str">
        <x:f>IF(C20&gt;=C21,"PASS","FAIL")</x:f>
        <x:v>PASS</x:v>
      </x:c>
      <x:c r="D38" s="146" t="str">
        <x:f>IF(D20&gt;=D21,"PASS","FAIL")</x:f>
        <x:v>PASS</x:v>
      </x:c>
      <x:c r="E38" s="146" t="str">
        <x:f>IF(E20&gt;=E21,"PASS","FAIL")</x:f>
        <x:v>PASS</x:v>
      </x:c>
      <x:c r="F38" s="146" t="str">
        <x:f>IF(F20&gt;=F21,"PASS","FAIL")</x:f>
        <x:v>FAIL</x:v>
      </x:c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106"/>
      <x:c r="Q38" s="106"/>
      <x:c r="R38" s="106"/>
      <x:c r="S38" s="106"/>
      <x:c r="T38" s="106"/>
      <x:c r="U38" s="106"/>
      <x:c r="V38" s="106"/>
      <x:c r="W38" s="106"/>
      <x:c r="X38" s="106"/>
      <x:c r="Y38" s="106"/>
      <x:c r="Z38" s="106"/>
    </x:row>
    <x:row r="39">
      <x:c r="A39" s="106"/>
      <x:c r="B39" s="106"/>
      <x:c r="C39" s="106"/>
      <x:c r="D39" s="106"/>
      <x:c r="E39" s="106"/>
      <x:c r="F39" s="106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106"/>
      <x:c r="Q39" s="106"/>
      <x:c r="R39" s="106"/>
      <x:c r="S39" s="106"/>
      <x:c r="T39" s="106"/>
      <x:c r="U39" s="106"/>
      <x:c r="V39" s="106"/>
      <x:c r="W39" s="106"/>
      <x:c r="X39" s="106"/>
      <x:c r="Y39" s="106"/>
      <x:c r="Z39" s="106"/>
    </x:row>
    <x:row r="40">
      <x:c r="A40" s="106"/>
      <x:c r="B40" s="106"/>
      <x:c r="C40" s="106"/>
      <x:c r="D40" s="106"/>
      <x:c r="E40" s="106"/>
      <x:c r="F40" s="106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106"/>
      <x:c r="Q40" s="106"/>
      <x:c r="R40" s="106"/>
      <x:c r="S40" s="106"/>
      <x:c r="T40" s="106"/>
      <x:c r="U40" s="106"/>
      <x:c r="V40" s="106"/>
      <x:c r="W40" s="106"/>
      <x:c r="X40" s="106"/>
      <x:c r="Y40" s="106"/>
      <x:c r="Z40" s="106"/>
    </x:row>
    <x:row r="41">
      <x:c r="A41" s="106"/>
      <x:c r="B41" s="106"/>
      <x:c r="C41" s="106"/>
      <x:c r="D41" s="106"/>
      <x:c r="E41" s="106"/>
      <x:c r="F41" s="106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106"/>
      <x:c r="Q41" s="106"/>
      <x:c r="R41" s="106"/>
      <x:c r="S41" s="106"/>
      <x:c r="T41" s="106"/>
      <x:c r="U41" s="106"/>
      <x:c r="V41" s="106"/>
      <x:c r="W41" s="106"/>
      <x:c r="X41" s="106"/>
      <x:c r="Y41" s="106"/>
      <x:c r="Z41" s="106"/>
    </x:row>
    <x:row r="42">
      <x:c r="A42" s="106"/>
      <x:c r="B42" s="106"/>
      <x:c r="C42" s="106"/>
      <x:c r="D42" s="106"/>
      <x:c r="E42" s="106"/>
      <x:c r="F42" s="106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106"/>
      <x:c r="Q42" s="106"/>
      <x:c r="R42" s="106"/>
      <x:c r="S42" s="106"/>
      <x:c r="T42" s="106"/>
      <x:c r="U42" s="106"/>
      <x:c r="V42" s="106"/>
      <x:c r="W42" s="106"/>
      <x:c r="X42" s="106"/>
      <x:c r="Y42" s="106"/>
      <x:c r="Z42" s="106"/>
    </x:row>
    <x:row r="43">
      <x:c r="A43" s="106"/>
      <x:c r="B43" s="106"/>
      <x:c r="C43" s="106"/>
      <x:c r="D43" s="106"/>
      <x:c r="E43" s="106"/>
      <x:c r="F43" s="106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106"/>
      <x:c r="Q43" s="106"/>
      <x:c r="R43" s="106"/>
      <x:c r="S43" s="106"/>
      <x:c r="T43" s="106"/>
      <x:c r="U43" s="106"/>
      <x:c r="V43" s="106"/>
      <x:c r="W43" s="106"/>
      <x:c r="X43" s="106"/>
      <x:c r="Y43" s="106"/>
      <x:c r="Z43" s="106"/>
    </x:row>
    <x:row r="44">
      <x:c r="A44" s="106"/>
      <x:c r="B44" s="106"/>
      <x:c r="C44" s="106"/>
      <x:c r="D44" s="106"/>
      <x:c r="E44" s="106"/>
      <x:c r="F44" s="106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106"/>
      <x:c r="Q44" s="106"/>
      <x:c r="R44" s="106"/>
      <x:c r="S44" s="106"/>
      <x:c r="T44" s="106"/>
      <x:c r="U44" s="106"/>
      <x:c r="V44" s="106"/>
      <x:c r="W44" s="106"/>
      <x:c r="X44" s="106"/>
      <x:c r="Y44" s="106"/>
      <x:c r="Z44" s="106"/>
    </x:row>
    <x:row r="45">
      <x:c r="A45" s="106"/>
      <x:c r="B45" s="106"/>
      <x:c r="C45" s="106"/>
      <x:c r="D45" s="106"/>
      <x:c r="E45" s="106"/>
      <x:c r="F45" s="106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106"/>
      <x:c r="Q45" s="106"/>
      <x:c r="R45" s="106"/>
      <x:c r="S45" s="106"/>
      <x:c r="T45" s="106"/>
      <x:c r="U45" s="106"/>
      <x:c r="V45" s="106"/>
      <x:c r="W45" s="106"/>
      <x:c r="X45" s="106"/>
      <x:c r="Y45" s="106"/>
      <x:c r="Z45" s="106"/>
    </x:row>
    <x:row r="46">
      <x:c r="A46" s="106"/>
      <x:c r="B46" s="106"/>
      <x:c r="C46" s="106"/>
      <x:c r="D46" s="106"/>
      <x:c r="E46" s="106"/>
      <x:c r="F46" s="106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106"/>
      <x:c r="Q46" s="106"/>
      <x:c r="R46" s="106"/>
      <x:c r="S46" s="106"/>
      <x:c r="T46" s="106"/>
      <x:c r="U46" s="106"/>
      <x:c r="V46" s="106"/>
      <x:c r="W46" s="106"/>
      <x:c r="X46" s="106"/>
      <x:c r="Y46" s="106"/>
      <x:c r="Z46" s="106"/>
    </x:row>
    <x:row r="47">
      <x:c r="A47" s="106"/>
      <x:c r="B47" s="106"/>
      <x:c r="C47" s="106"/>
      <x:c r="D47" s="106"/>
      <x:c r="E47" s="106"/>
      <x:c r="F47" s="106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106"/>
      <x:c r="Q47" s="106"/>
      <x:c r="R47" s="106"/>
      <x:c r="S47" s="106"/>
      <x:c r="T47" s="106"/>
      <x:c r="U47" s="106"/>
      <x:c r="V47" s="106"/>
      <x:c r="W47" s="106"/>
      <x:c r="X47" s="106"/>
      <x:c r="Y47" s="106"/>
      <x:c r="Z47" s="106"/>
    </x:row>
    <x:row r="48">
      <x:c r="A48" s="106"/>
      <x:c r="B48" s="106"/>
      <x:c r="C48" s="106"/>
      <x:c r="D48" s="106"/>
      <x:c r="E48" s="106"/>
      <x:c r="F48" s="106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106"/>
      <x:c r="Q48" s="106"/>
      <x:c r="R48" s="106"/>
      <x:c r="S48" s="106"/>
      <x:c r="T48" s="106"/>
      <x:c r="U48" s="106"/>
      <x:c r="V48" s="106"/>
      <x:c r="W48" s="106"/>
      <x:c r="X48" s="106"/>
      <x:c r="Y48" s="106"/>
      <x:c r="Z48" s="106"/>
    </x:row>
    <x:row r="49">
      <x:c r="A49" s="106"/>
      <x:c r="B49" s="106"/>
      <x:c r="C49" s="106"/>
      <x:c r="D49" s="106"/>
      <x:c r="E49" s="106"/>
      <x:c r="F49" s="106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106"/>
      <x:c r="Q49" s="106"/>
      <x:c r="R49" s="106"/>
      <x:c r="S49" s="106"/>
      <x:c r="T49" s="106"/>
      <x:c r="U49" s="106"/>
      <x:c r="V49" s="106"/>
      <x:c r="W49" s="106"/>
      <x:c r="X49" s="106"/>
      <x:c r="Y49" s="106"/>
      <x:c r="Z49" s="106"/>
    </x:row>
    <x:row r="50">
      <x:c r="A50" s="106"/>
      <x:c r="B50" s="106"/>
      <x:c r="C50" s="106"/>
      <x:c r="D50" s="106"/>
      <x:c r="E50" s="106"/>
      <x:c r="F50" s="106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106"/>
      <x:c r="Q50" s="106"/>
      <x:c r="R50" s="106"/>
      <x:c r="S50" s="106"/>
      <x:c r="T50" s="106"/>
      <x:c r="U50" s="106"/>
      <x:c r="V50" s="106"/>
      <x:c r="W50" s="106"/>
      <x:c r="X50" s="106"/>
      <x:c r="Y50" s="106"/>
      <x:c r="Z50" s="106"/>
    </x:row>
    <x:row r="51">
      <x:c r="A51" s="106"/>
      <x:c r="B51" s="106"/>
      <x:c r="C51" s="106"/>
      <x:c r="D51" s="106"/>
      <x:c r="E51" s="106"/>
      <x:c r="F51" s="106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106"/>
      <x:c r="Q51" s="106"/>
      <x:c r="R51" s="106"/>
      <x:c r="S51" s="106"/>
      <x:c r="T51" s="106"/>
      <x:c r="U51" s="106"/>
      <x:c r="V51" s="106"/>
      <x:c r="W51" s="106"/>
      <x:c r="X51" s="106"/>
      <x:c r="Y51" s="106"/>
      <x:c r="Z51" s="106"/>
    </x:row>
    <x:row r="52">
      <x:c r="A52" s="106"/>
      <x:c r="B52" s="106"/>
      <x:c r="C52" s="106"/>
      <x:c r="D52" s="106"/>
      <x:c r="E52" s="106"/>
      <x:c r="F52" s="106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106"/>
      <x:c r="Q52" s="106"/>
      <x:c r="R52" s="106"/>
      <x:c r="S52" s="106"/>
      <x:c r="T52" s="106"/>
      <x:c r="U52" s="106"/>
      <x:c r="V52" s="106"/>
      <x:c r="W52" s="106"/>
      <x:c r="X52" s="106"/>
      <x:c r="Y52" s="106"/>
      <x:c r="Z52" s="106"/>
    </x:row>
    <x:row r="53">
      <x:c r="A53" s="106"/>
      <x:c r="B53" s="106"/>
      <x:c r="C53" s="106"/>
      <x:c r="D53" s="106"/>
      <x:c r="E53" s="106"/>
      <x:c r="F53" s="106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106"/>
      <x:c r="Q53" s="106"/>
      <x:c r="R53" s="106"/>
      <x:c r="S53" s="106"/>
      <x:c r="T53" s="106"/>
      <x:c r="U53" s="106"/>
      <x:c r="V53" s="106"/>
      <x:c r="W53" s="106"/>
      <x:c r="X53" s="106"/>
      <x:c r="Y53" s="106"/>
      <x:c r="Z53" s="106"/>
    </x:row>
    <x:row r="54">
      <x:c r="A54" s="106"/>
      <x:c r="B54" s="106"/>
      <x:c r="C54" s="106"/>
      <x:c r="D54" s="106"/>
      <x:c r="E54" s="106"/>
      <x:c r="F54" s="106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106"/>
      <x:c r="Q54" s="106"/>
      <x:c r="R54" s="106"/>
      <x:c r="S54" s="106"/>
      <x:c r="T54" s="106"/>
      <x:c r="U54" s="106"/>
      <x:c r="V54" s="106"/>
      <x:c r="W54" s="106"/>
      <x:c r="X54" s="106"/>
      <x:c r="Y54" s="106"/>
      <x:c r="Z54" s="106"/>
    </x:row>
    <x:row r="55">
      <x:c r="A55" s="106"/>
      <x:c r="B55" s="106"/>
      <x:c r="C55" s="106"/>
      <x:c r="D55" s="106"/>
      <x:c r="E55" s="106"/>
      <x:c r="F55" s="106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106"/>
      <x:c r="Q55" s="106"/>
      <x:c r="R55" s="106"/>
      <x:c r="S55" s="106"/>
      <x:c r="T55" s="106"/>
      <x:c r="U55" s="106"/>
      <x:c r="V55" s="106"/>
      <x:c r="W55" s="106"/>
      <x:c r="X55" s="106"/>
      <x:c r="Y55" s="106"/>
      <x:c r="Z55" s="106"/>
    </x:row>
    <x:row r="56">
      <x:c r="A56" s="106"/>
      <x:c r="B56" s="106"/>
      <x:c r="C56" s="106"/>
      <x:c r="D56" s="106"/>
      <x:c r="E56" s="106"/>
      <x:c r="F56" s="106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106"/>
      <x:c r="Q56" s="106"/>
      <x:c r="R56" s="106"/>
      <x:c r="S56" s="106"/>
      <x:c r="T56" s="106"/>
      <x:c r="U56" s="106"/>
      <x:c r="V56" s="106"/>
      <x:c r="W56" s="106"/>
      <x:c r="X56" s="106"/>
      <x:c r="Y56" s="106"/>
      <x:c r="Z56" s="106"/>
    </x:row>
    <x:row r="57">
      <x:c r="A57" s="106"/>
      <x:c r="B57" s="106"/>
      <x:c r="C57" s="106"/>
      <x:c r="D57" s="106"/>
      <x:c r="E57" s="106"/>
      <x:c r="F57" s="106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106"/>
      <x:c r="Q57" s="106"/>
      <x:c r="R57" s="106"/>
      <x:c r="S57" s="106"/>
      <x:c r="T57" s="106"/>
      <x:c r="U57" s="106"/>
      <x:c r="V57" s="106"/>
      <x:c r="W57" s="106"/>
      <x:c r="X57" s="106"/>
      <x:c r="Y57" s="106"/>
      <x:c r="Z57" s="106"/>
    </x:row>
    <x:row r="58">
      <x:c r="A58" s="106"/>
      <x:c r="B58" s="106"/>
      <x:c r="C58" s="106"/>
      <x:c r="D58" s="106"/>
      <x:c r="E58" s="106"/>
      <x:c r="F58" s="106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106"/>
      <x:c r="Q58" s="106"/>
      <x:c r="R58" s="106"/>
      <x:c r="S58" s="106"/>
      <x:c r="T58" s="106"/>
      <x:c r="U58" s="106"/>
      <x:c r="V58" s="106"/>
      <x:c r="W58" s="106"/>
      <x:c r="X58" s="106"/>
      <x:c r="Y58" s="106"/>
      <x:c r="Z58" s="106"/>
    </x:row>
    <x:row r="59">
      <x:c r="A59" s="106"/>
      <x:c r="B59" s="106"/>
      <x:c r="C59" s="106"/>
      <x:c r="D59" s="106"/>
      <x:c r="E59" s="106"/>
      <x:c r="F59" s="106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106"/>
      <x:c r="Q59" s="106"/>
      <x:c r="R59" s="106"/>
      <x:c r="S59" s="106"/>
      <x:c r="T59" s="106"/>
      <x:c r="U59" s="106"/>
      <x:c r="V59" s="106"/>
      <x:c r="W59" s="106"/>
      <x:c r="X59" s="106"/>
      <x:c r="Y59" s="106"/>
      <x:c r="Z59" s="106"/>
    </x:row>
    <x:row r="60">
      <x:c r="A60" s="106"/>
      <x:c r="B60" s="106"/>
      <x:c r="C60" s="106"/>
      <x:c r="D60" s="106"/>
      <x:c r="E60" s="106"/>
      <x:c r="F60" s="106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106"/>
      <x:c r="Q60" s="106"/>
      <x:c r="R60" s="106"/>
      <x:c r="S60" s="106"/>
      <x:c r="T60" s="106"/>
      <x:c r="U60" s="106"/>
      <x:c r="V60" s="106"/>
      <x:c r="W60" s="106"/>
      <x:c r="X60" s="106"/>
      <x:c r="Y60" s="106"/>
      <x:c r="Z60" s="106"/>
    </x:row>
    <x:row r="61">
      <x:c r="A61" s="106"/>
      <x:c r="B61" s="106"/>
      <x:c r="C61" s="106"/>
      <x:c r="D61" s="106"/>
      <x:c r="E61" s="106"/>
      <x:c r="F61" s="106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106"/>
      <x:c r="Q61" s="106"/>
      <x:c r="R61" s="106"/>
      <x:c r="S61" s="106"/>
      <x:c r="T61" s="106"/>
      <x:c r="U61" s="106"/>
      <x:c r="V61" s="106"/>
      <x:c r="W61" s="106"/>
      <x:c r="X61" s="106"/>
      <x:c r="Y61" s="106"/>
      <x:c r="Z61" s="106"/>
    </x:row>
    <x:row r="62">
      <x:c r="A62" s="106"/>
      <x:c r="B62" s="106"/>
      <x:c r="C62" s="106"/>
      <x:c r="D62" s="106"/>
      <x:c r="E62" s="106"/>
      <x:c r="F62" s="106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106"/>
      <x:c r="Q62" s="106"/>
      <x:c r="R62" s="106"/>
      <x:c r="S62" s="106"/>
      <x:c r="T62" s="106"/>
      <x:c r="U62" s="106"/>
      <x:c r="V62" s="106"/>
      <x:c r="W62" s="106"/>
      <x:c r="X62" s="106"/>
      <x:c r="Y62" s="106"/>
      <x:c r="Z62" s="106"/>
    </x:row>
    <x:row r="63">
      <x:c r="A63" s="106"/>
      <x:c r="B63" s="106"/>
      <x:c r="C63" s="106"/>
      <x:c r="D63" s="106"/>
      <x:c r="E63" s="106"/>
      <x:c r="F63" s="106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106"/>
      <x:c r="Q63" s="106"/>
      <x:c r="R63" s="106"/>
      <x:c r="S63" s="106"/>
      <x:c r="T63" s="106"/>
      <x:c r="U63" s="106"/>
      <x:c r="V63" s="106"/>
      <x:c r="W63" s="106"/>
      <x:c r="X63" s="106"/>
      <x:c r="Y63" s="106"/>
      <x:c r="Z63" s="106"/>
    </x:row>
    <x:row r="64">
      <x:c r="A64" s="106"/>
      <x:c r="B64" s="106"/>
      <x:c r="C64" s="106"/>
      <x:c r="D64" s="106"/>
      <x:c r="E64" s="106"/>
      <x:c r="F64" s="106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106"/>
      <x:c r="Q64" s="106"/>
      <x:c r="R64" s="106"/>
      <x:c r="S64" s="106"/>
      <x:c r="T64" s="106"/>
      <x:c r="U64" s="106"/>
      <x:c r="V64" s="106"/>
      <x:c r="W64" s="106"/>
      <x:c r="X64" s="106"/>
      <x:c r="Y64" s="106"/>
      <x:c r="Z64" s="106"/>
    </x:row>
    <x:row r="65">
      <x:c r="A65" s="106"/>
      <x:c r="B65" s="106"/>
      <x:c r="C65" s="106"/>
      <x:c r="D65" s="106"/>
      <x:c r="E65" s="106"/>
      <x:c r="F65" s="106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106"/>
      <x:c r="Q65" s="106"/>
      <x:c r="R65" s="106"/>
      <x:c r="S65" s="106"/>
      <x:c r="T65" s="106"/>
      <x:c r="U65" s="106"/>
      <x:c r="V65" s="106"/>
      <x:c r="W65" s="106"/>
      <x:c r="X65" s="106"/>
      <x:c r="Y65" s="106"/>
      <x:c r="Z65" s="106"/>
    </x:row>
    <x:row r="66">
      <x:c r="A66" s="106"/>
      <x:c r="B66" s="106"/>
      <x:c r="C66" s="106"/>
      <x:c r="D66" s="106"/>
      <x:c r="E66" s="106"/>
      <x:c r="F66" s="106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106"/>
      <x:c r="Q66" s="106"/>
      <x:c r="R66" s="106"/>
      <x:c r="S66" s="106"/>
      <x:c r="T66" s="106"/>
      <x:c r="U66" s="106"/>
      <x:c r="V66" s="106"/>
      <x:c r="W66" s="106"/>
      <x:c r="X66" s="106"/>
      <x:c r="Y66" s="106"/>
      <x:c r="Z66" s="106"/>
    </x:row>
    <x:row r="67">
      <x:c r="A67" s="106"/>
      <x:c r="B67" s="106"/>
      <x:c r="C67" s="106"/>
      <x:c r="D67" s="106"/>
      <x:c r="E67" s="106"/>
      <x:c r="F67" s="106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106"/>
      <x:c r="Q67" s="106"/>
      <x:c r="R67" s="106"/>
      <x:c r="S67" s="106"/>
      <x:c r="T67" s="106"/>
      <x:c r="U67" s="106"/>
      <x:c r="V67" s="106"/>
      <x:c r="W67" s="106"/>
      <x:c r="X67" s="106"/>
      <x:c r="Y67" s="106"/>
      <x:c r="Z67" s="106"/>
    </x:row>
    <x:row r="68">
      <x:c r="A68" s="106"/>
      <x:c r="B68" s="106"/>
      <x:c r="C68" s="106"/>
      <x:c r="D68" s="106"/>
      <x:c r="E68" s="106"/>
      <x:c r="F68" s="106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106"/>
      <x:c r="Q68" s="106"/>
      <x:c r="R68" s="106"/>
      <x:c r="S68" s="106"/>
      <x:c r="T68" s="106"/>
      <x:c r="U68" s="106"/>
      <x:c r="V68" s="106"/>
      <x:c r="W68" s="106"/>
      <x:c r="X68" s="106"/>
      <x:c r="Y68" s="106"/>
      <x:c r="Z68" s="106"/>
    </x:row>
    <x:row r="69">
      <x:c r="A69" s="106"/>
      <x:c r="B69" s="106"/>
      <x:c r="C69" s="106"/>
      <x:c r="D69" s="106"/>
      <x:c r="E69" s="106"/>
      <x:c r="F69" s="106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106"/>
      <x:c r="Q69" s="106"/>
      <x:c r="R69" s="106"/>
      <x:c r="S69" s="106"/>
      <x:c r="T69" s="106"/>
      <x:c r="U69" s="106"/>
      <x:c r="V69" s="106"/>
      <x:c r="W69" s="106"/>
      <x:c r="X69" s="106"/>
      <x:c r="Y69" s="106"/>
      <x:c r="Z69" s="106"/>
    </x:row>
    <x:row r="70">
      <x:c r="A70" s="106"/>
      <x:c r="B70" s="106"/>
      <x:c r="C70" s="106"/>
      <x:c r="D70" s="106"/>
      <x:c r="E70" s="106"/>
      <x:c r="F70" s="106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106"/>
      <x:c r="Q70" s="106"/>
      <x:c r="R70" s="106"/>
      <x:c r="S70" s="106"/>
      <x:c r="T70" s="106"/>
      <x:c r="U70" s="106"/>
      <x:c r="V70" s="106"/>
      <x:c r="W70" s="106"/>
      <x:c r="X70" s="106"/>
      <x:c r="Y70" s="106"/>
      <x:c r="Z70" s="106"/>
    </x:row>
    <x:row r="71">
      <x:c r="A71" s="106"/>
      <x:c r="B71" s="106"/>
      <x:c r="C71" s="106"/>
      <x:c r="D71" s="106"/>
      <x:c r="E71" s="106"/>
      <x:c r="F71" s="106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106"/>
      <x:c r="Q71" s="106"/>
      <x:c r="R71" s="106"/>
      <x:c r="S71" s="106"/>
      <x:c r="T71" s="106"/>
      <x:c r="U71" s="106"/>
      <x:c r="V71" s="106"/>
      <x:c r="W71" s="106"/>
      <x:c r="X71" s="106"/>
      <x:c r="Y71" s="106"/>
      <x:c r="Z71" s="106"/>
    </x:row>
    <x:row r="72">
      <x:c r="A72" s="106"/>
      <x:c r="B72" s="106"/>
      <x:c r="C72" s="106"/>
      <x:c r="D72" s="106"/>
      <x:c r="E72" s="106"/>
      <x:c r="F72" s="106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106"/>
      <x:c r="Q72" s="106"/>
      <x:c r="R72" s="106"/>
      <x:c r="S72" s="106"/>
      <x:c r="T72" s="106"/>
      <x:c r="U72" s="106"/>
      <x:c r="V72" s="106"/>
      <x:c r="W72" s="106"/>
      <x:c r="X72" s="106"/>
      <x:c r="Y72" s="106"/>
      <x:c r="Z72" s="106"/>
    </x:row>
    <x:row r="73">
      <x:c r="A73" s="106"/>
      <x:c r="B73" s="106"/>
      <x:c r="C73" s="106"/>
      <x:c r="D73" s="106"/>
      <x:c r="E73" s="106"/>
      <x:c r="F73" s="106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106"/>
      <x:c r="Q73" s="106"/>
      <x:c r="R73" s="106"/>
      <x:c r="S73" s="106"/>
      <x:c r="T73" s="106"/>
      <x:c r="U73" s="106"/>
      <x:c r="V73" s="106"/>
      <x:c r="W73" s="106"/>
      <x:c r="X73" s="106"/>
      <x:c r="Y73" s="106"/>
      <x:c r="Z73" s="106"/>
    </x:row>
    <x:row r="74">
      <x:c r="A74" s="106"/>
      <x:c r="B74" s="106"/>
      <x:c r="C74" s="106"/>
      <x:c r="D74" s="106"/>
      <x:c r="E74" s="106"/>
      <x:c r="F74" s="106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106"/>
      <x:c r="Q74" s="106"/>
      <x:c r="R74" s="106"/>
      <x:c r="S74" s="106"/>
      <x:c r="T74" s="106"/>
      <x:c r="U74" s="106"/>
      <x:c r="V74" s="106"/>
      <x:c r="W74" s="106"/>
      <x:c r="X74" s="106"/>
      <x:c r="Y74" s="106"/>
      <x:c r="Z74" s="106"/>
    </x:row>
    <x:row r="75">
      <x:c r="A75" s="106"/>
      <x:c r="B75" s="106"/>
      <x:c r="C75" s="106"/>
      <x:c r="D75" s="106"/>
      <x:c r="E75" s="106"/>
      <x:c r="F75" s="106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106"/>
      <x:c r="Q75" s="106"/>
      <x:c r="R75" s="106"/>
      <x:c r="S75" s="106"/>
      <x:c r="T75" s="106"/>
      <x:c r="U75" s="106"/>
      <x:c r="V75" s="106"/>
      <x:c r="W75" s="106"/>
      <x:c r="X75" s="106"/>
      <x:c r="Y75" s="106"/>
      <x:c r="Z75" s="106"/>
    </x:row>
    <x:row r="76">
      <x:c r="A76" s="106"/>
      <x:c r="B76" s="106"/>
      <x:c r="C76" s="106"/>
      <x:c r="D76" s="106"/>
      <x:c r="E76" s="106"/>
      <x:c r="F76" s="106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106"/>
      <x:c r="Q76" s="106"/>
      <x:c r="R76" s="106"/>
      <x:c r="S76" s="106"/>
      <x:c r="T76" s="106"/>
      <x:c r="U76" s="106"/>
      <x:c r="V76" s="106"/>
      <x:c r="W76" s="106"/>
      <x:c r="X76" s="106"/>
      <x:c r="Y76" s="106"/>
      <x:c r="Z76" s="106"/>
    </x:row>
    <x:row r="77">
      <x:c r="A77" s="106"/>
      <x:c r="B77" s="106"/>
      <x:c r="C77" s="106"/>
      <x:c r="D77" s="106"/>
      <x:c r="E77" s="106"/>
      <x:c r="F77" s="106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106"/>
      <x:c r="Q77" s="106"/>
      <x:c r="R77" s="106"/>
      <x:c r="S77" s="106"/>
      <x:c r="T77" s="106"/>
      <x:c r="U77" s="106"/>
      <x:c r="V77" s="106"/>
      <x:c r="W77" s="106"/>
      <x:c r="X77" s="106"/>
      <x:c r="Y77" s="106"/>
      <x:c r="Z77" s="106"/>
    </x:row>
    <x:row r="78">
      <x:c r="A78" s="106"/>
      <x:c r="B78" s="106"/>
      <x:c r="C78" s="106"/>
      <x:c r="D78" s="106"/>
      <x:c r="E78" s="106"/>
      <x:c r="F78" s="106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106"/>
      <x:c r="Q78" s="106"/>
      <x:c r="R78" s="106"/>
      <x:c r="S78" s="106"/>
      <x:c r="T78" s="106"/>
      <x:c r="U78" s="106"/>
      <x:c r="V78" s="106"/>
      <x:c r="W78" s="106"/>
      <x:c r="X78" s="106"/>
      <x:c r="Y78" s="106"/>
      <x:c r="Z78" s="106"/>
    </x:row>
    <x:row r="79">
      <x:c r="A79" s="106"/>
      <x:c r="B79" s="106"/>
      <x:c r="C79" s="106"/>
      <x:c r="D79" s="106"/>
      <x:c r="E79" s="106"/>
      <x:c r="F79" s="106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106"/>
      <x:c r="Q79" s="106"/>
      <x:c r="R79" s="106"/>
      <x:c r="S79" s="106"/>
      <x:c r="T79" s="106"/>
      <x:c r="U79" s="106"/>
      <x:c r="V79" s="106"/>
      <x:c r="W79" s="106"/>
      <x:c r="X79" s="106"/>
      <x:c r="Y79" s="106"/>
      <x:c r="Z79" s="106"/>
    </x:row>
    <x:row r="80">
      <x:c r="A80" s="106"/>
      <x:c r="B80" s="106"/>
      <x:c r="C80" s="106"/>
      <x:c r="D80" s="106"/>
      <x:c r="E80" s="106"/>
      <x:c r="F80" s="106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106"/>
      <x:c r="Q80" s="106"/>
      <x:c r="R80" s="106"/>
      <x:c r="S80" s="106"/>
      <x:c r="T80" s="106"/>
      <x:c r="U80" s="106"/>
      <x:c r="V80" s="106"/>
      <x:c r="W80" s="106"/>
      <x:c r="X80" s="106"/>
      <x:c r="Y80" s="106"/>
      <x:c r="Z80" s="106"/>
    </x:row>
    <x:row r="81">
      <x:c r="A81" s="106"/>
      <x:c r="B81" s="106"/>
      <x:c r="C81" s="106"/>
      <x:c r="D81" s="106"/>
      <x:c r="E81" s="106"/>
      <x:c r="F81" s="106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106"/>
      <x:c r="Q81" s="106"/>
      <x:c r="R81" s="106"/>
      <x:c r="S81" s="106"/>
      <x:c r="T81" s="106"/>
      <x:c r="U81" s="106"/>
      <x:c r="V81" s="106"/>
      <x:c r="W81" s="106"/>
      <x:c r="X81" s="106"/>
      <x:c r="Y81" s="106"/>
      <x:c r="Z81" s="106"/>
    </x:row>
    <x:row r="82">
      <x:c r="A82" s="106"/>
      <x:c r="B82" s="106"/>
      <x:c r="C82" s="106"/>
      <x:c r="D82" s="106"/>
      <x:c r="E82" s="106"/>
      <x:c r="F82" s="106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106"/>
      <x:c r="Q82" s="106"/>
      <x:c r="R82" s="106"/>
      <x:c r="S82" s="106"/>
      <x:c r="T82" s="106"/>
      <x:c r="U82" s="106"/>
      <x:c r="V82" s="106"/>
      <x:c r="W82" s="106"/>
      <x:c r="X82" s="106"/>
      <x:c r="Y82" s="106"/>
      <x:c r="Z82" s="106"/>
    </x:row>
    <x:row r="83">
      <x:c r="A83" s="106"/>
      <x:c r="B83" s="106"/>
      <x:c r="C83" s="106"/>
      <x:c r="D83" s="106"/>
      <x:c r="E83" s="106"/>
      <x:c r="F83" s="106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106"/>
      <x:c r="Q83" s="106"/>
      <x:c r="R83" s="106"/>
      <x:c r="S83" s="106"/>
      <x:c r="T83" s="106"/>
      <x:c r="U83" s="106"/>
      <x:c r="V83" s="106"/>
      <x:c r="W83" s="106"/>
      <x:c r="X83" s="106"/>
      <x:c r="Y83" s="106"/>
      <x:c r="Z83" s="106"/>
    </x:row>
    <x:row r="84">
      <x:c r="A84" s="106"/>
      <x:c r="B84" s="106"/>
      <x:c r="C84" s="106"/>
      <x:c r="D84" s="106"/>
      <x:c r="E84" s="106"/>
      <x:c r="F84" s="106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106"/>
      <x:c r="Q84" s="106"/>
      <x:c r="R84" s="106"/>
      <x:c r="S84" s="106"/>
      <x:c r="T84" s="106"/>
      <x:c r="U84" s="106"/>
      <x:c r="V84" s="106"/>
      <x:c r="W84" s="106"/>
      <x:c r="X84" s="106"/>
      <x:c r="Y84" s="106"/>
      <x:c r="Z84" s="106"/>
    </x:row>
    <x:row r="85">
      <x:c r="A85" s="106"/>
      <x:c r="B85" s="106"/>
      <x:c r="C85" s="106"/>
      <x:c r="D85" s="106"/>
      <x:c r="E85" s="106"/>
      <x:c r="F85" s="106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106"/>
      <x:c r="Q85" s="106"/>
      <x:c r="R85" s="106"/>
      <x:c r="S85" s="106"/>
      <x:c r="T85" s="106"/>
      <x:c r="U85" s="106"/>
      <x:c r="V85" s="106"/>
      <x:c r="W85" s="106"/>
      <x:c r="X85" s="106"/>
      <x:c r="Y85" s="106"/>
      <x:c r="Z85" s="106"/>
    </x:row>
    <x:row r="86">
      <x:c r="A86" s="106"/>
      <x:c r="B86" s="106"/>
      <x:c r="C86" s="106"/>
      <x:c r="D86" s="106"/>
      <x:c r="E86" s="106"/>
      <x:c r="F86" s="106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106"/>
      <x:c r="Q86" s="106"/>
      <x:c r="R86" s="106"/>
      <x:c r="S86" s="106"/>
      <x:c r="T86" s="106"/>
      <x:c r="U86" s="106"/>
      <x:c r="V86" s="106"/>
      <x:c r="W86" s="106"/>
      <x:c r="X86" s="106"/>
      <x:c r="Y86" s="106"/>
      <x:c r="Z86" s="106"/>
    </x:row>
    <x:row r="87">
      <x:c r="A87" s="106"/>
      <x:c r="B87" s="106"/>
      <x:c r="C87" s="106"/>
      <x:c r="D87" s="106"/>
      <x:c r="E87" s="106"/>
      <x:c r="F87" s="106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106"/>
      <x:c r="Q87" s="106"/>
      <x:c r="R87" s="106"/>
      <x:c r="S87" s="106"/>
      <x:c r="T87" s="106"/>
      <x:c r="U87" s="106"/>
      <x:c r="V87" s="106"/>
      <x:c r="W87" s="106"/>
      <x:c r="X87" s="106"/>
      <x:c r="Y87" s="106"/>
      <x:c r="Z87" s="106"/>
    </x:row>
    <x:row r="88">
      <x:c r="A88" s="106"/>
      <x:c r="B88" s="106"/>
      <x:c r="C88" s="106"/>
      <x:c r="D88" s="106"/>
      <x:c r="E88" s="106"/>
      <x:c r="F88" s="106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106"/>
      <x:c r="Q88" s="106"/>
      <x:c r="R88" s="106"/>
      <x:c r="S88" s="106"/>
      <x:c r="T88" s="106"/>
      <x:c r="U88" s="106"/>
      <x:c r="V88" s="106"/>
      <x:c r="W88" s="106"/>
      <x:c r="X88" s="106"/>
      <x:c r="Y88" s="106"/>
      <x:c r="Z88" s="106"/>
    </x:row>
    <x:row r="89">
      <x:c r="A89" s="106"/>
      <x:c r="B89" s="106"/>
      <x:c r="C89" s="106"/>
      <x:c r="D89" s="106"/>
      <x:c r="E89" s="106"/>
      <x:c r="F89" s="106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106"/>
      <x:c r="Q89" s="106"/>
      <x:c r="R89" s="106"/>
      <x:c r="S89" s="106"/>
      <x:c r="T89" s="106"/>
      <x:c r="U89" s="106"/>
      <x:c r="V89" s="106"/>
      <x:c r="W89" s="106"/>
      <x:c r="X89" s="106"/>
      <x:c r="Y89" s="106"/>
      <x:c r="Z89" s="106"/>
    </x:row>
    <x:row r="90">
      <x:c r="A90" s="106"/>
      <x:c r="B90" s="106"/>
      <x:c r="C90" s="106"/>
      <x:c r="D90" s="106"/>
      <x:c r="E90" s="106"/>
      <x:c r="F90" s="106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106"/>
      <x:c r="Q90" s="106"/>
      <x:c r="R90" s="106"/>
      <x:c r="S90" s="106"/>
      <x:c r="T90" s="106"/>
      <x:c r="U90" s="106"/>
      <x:c r="V90" s="106"/>
      <x:c r="W90" s="106"/>
      <x:c r="X90" s="106"/>
      <x:c r="Y90" s="106"/>
      <x:c r="Z90" s="106"/>
    </x:row>
    <x:row r="91">
      <x:c r="A91" s="106"/>
      <x:c r="B91" s="106"/>
      <x:c r="C91" s="106"/>
      <x:c r="D91" s="106"/>
      <x:c r="E91" s="106"/>
      <x:c r="F91" s="106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106"/>
      <x:c r="Q91" s="106"/>
      <x:c r="R91" s="106"/>
      <x:c r="S91" s="106"/>
      <x:c r="T91" s="106"/>
      <x:c r="U91" s="106"/>
      <x:c r="V91" s="106"/>
      <x:c r="W91" s="106"/>
      <x:c r="X91" s="106"/>
      <x:c r="Y91" s="106"/>
      <x:c r="Z91" s="106"/>
    </x:row>
    <x:row r="92">
      <x:c r="A92" s="106"/>
      <x:c r="B92" s="106"/>
      <x:c r="C92" s="106"/>
      <x:c r="D92" s="106"/>
      <x:c r="E92" s="106"/>
      <x:c r="F92" s="106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106"/>
      <x:c r="Q92" s="106"/>
      <x:c r="R92" s="106"/>
      <x:c r="S92" s="106"/>
      <x:c r="T92" s="106"/>
      <x:c r="U92" s="106"/>
      <x:c r="V92" s="106"/>
      <x:c r="W92" s="106"/>
      <x:c r="X92" s="106"/>
      <x:c r="Y92" s="106"/>
      <x:c r="Z92" s="106"/>
    </x:row>
    <x:row r="93">
      <x:c r="A93" s="106"/>
      <x:c r="B93" s="106"/>
      <x:c r="C93" s="106"/>
      <x:c r="D93" s="106"/>
      <x:c r="E93" s="106"/>
      <x:c r="F93" s="106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106"/>
      <x:c r="Q93" s="106"/>
      <x:c r="R93" s="106"/>
      <x:c r="S93" s="106"/>
      <x:c r="T93" s="106"/>
      <x:c r="U93" s="106"/>
      <x:c r="V93" s="106"/>
      <x:c r="W93" s="106"/>
      <x:c r="X93" s="106"/>
      <x:c r="Y93" s="106"/>
      <x:c r="Z93" s="106"/>
    </x:row>
    <x:row r="94">
      <x:c r="A94" s="106"/>
      <x:c r="B94" s="106"/>
      <x:c r="C94" s="106"/>
      <x:c r="D94" s="106"/>
      <x:c r="E94" s="106"/>
      <x:c r="F94" s="106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106"/>
      <x:c r="Q94" s="106"/>
      <x:c r="R94" s="106"/>
      <x:c r="S94" s="106"/>
      <x:c r="T94" s="106"/>
      <x:c r="U94" s="106"/>
      <x:c r="V94" s="106"/>
      <x:c r="W94" s="106"/>
      <x:c r="X94" s="106"/>
      <x:c r="Y94" s="106"/>
      <x:c r="Z94" s="106"/>
    </x:row>
    <x:row r="95">
      <x:c r="A95" s="106"/>
      <x:c r="B95" s="106"/>
      <x:c r="C95" s="106"/>
      <x:c r="D95" s="106"/>
      <x:c r="E95" s="106"/>
      <x:c r="F95" s="106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106"/>
      <x:c r="Q95" s="106"/>
      <x:c r="R95" s="106"/>
      <x:c r="S95" s="106"/>
      <x:c r="T95" s="106"/>
      <x:c r="U95" s="106"/>
      <x:c r="V95" s="106"/>
      <x:c r="W95" s="106"/>
      <x:c r="X95" s="106"/>
      <x:c r="Y95" s="106"/>
      <x:c r="Z95" s="106"/>
    </x:row>
    <x:row r="96">
      <x:c r="A96" s="106"/>
      <x:c r="B96" s="106"/>
      <x:c r="C96" s="106"/>
      <x:c r="D96" s="106"/>
      <x:c r="E96" s="106"/>
      <x:c r="F96" s="106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106"/>
      <x:c r="Q96" s="106"/>
      <x:c r="R96" s="106"/>
      <x:c r="S96" s="106"/>
      <x:c r="T96" s="106"/>
      <x:c r="U96" s="106"/>
      <x:c r="V96" s="106"/>
      <x:c r="W96" s="106"/>
      <x:c r="X96" s="106"/>
      <x:c r="Y96" s="106"/>
      <x:c r="Z96" s="106"/>
    </x:row>
    <x:row r="97">
      <x:c r="A97" s="106"/>
      <x:c r="B97" s="106"/>
      <x:c r="C97" s="106"/>
      <x:c r="D97" s="106"/>
      <x:c r="E97" s="106"/>
      <x:c r="F97" s="106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106"/>
      <x:c r="Q97" s="106"/>
      <x:c r="R97" s="106"/>
      <x:c r="S97" s="106"/>
      <x:c r="T97" s="106"/>
      <x:c r="U97" s="106"/>
      <x:c r="V97" s="106"/>
      <x:c r="W97" s="106"/>
      <x:c r="X97" s="106"/>
      <x:c r="Y97" s="106"/>
      <x:c r="Z97" s="106"/>
    </x:row>
    <x:row r="98">
      <x:c r="A98" s="106"/>
      <x:c r="B98" s="106"/>
      <x:c r="C98" s="106"/>
      <x:c r="D98" s="106"/>
      <x:c r="E98" s="106"/>
      <x:c r="F98" s="106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106"/>
      <x:c r="Q98" s="106"/>
      <x:c r="R98" s="106"/>
      <x:c r="S98" s="106"/>
      <x:c r="T98" s="106"/>
      <x:c r="U98" s="106"/>
      <x:c r="V98" s="106"/>
      <x:c r="W98" s="106"/>
      <x:c r="X98" s="106"/>
      <x:c r="Y98" s="106"/>
      <x:c r="Z98" s="106"/>
    </x:row>
    <x:row r="99">
      <x:c r="A99" s="106"/>
      <x:c r="B99" s="106"/>
      <x:c r="C99" s="106"/>
      <x:c r="D99" s="106"/>
      <x:c r="E99" s="106"/>
      <x:c r="F99" s="106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106"/>
      <x:c r="Q99" s="106"/>
      <x:c r="R99" s="106"/>
      <x:c r="S99" s="106"/>
      <x:c r="T99" s="106"/>
      <x:c r="U99" s="106"/>
      <x:c r="V99" s="106"/>
      <x:c r="W99" s="106"/>
      <x:c r="X99" s="106"/>
      <x:c r="Y99" s="106"/>
      <x:c r="Z99" s="106"/>
    </x:row>
    <x:row r="100">
      <x:c r="A100" s="106"/>
      <x:c r="B100" s="106"/>
      <x:c r="C100" s="106"/>
      <x:c r="D100" s="106"/>
      <x:c r="E100" s="106"/>
      <x:c r="F100" s="106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106"/>
      <x:c r="Q100" s="106"/>
      <x:c r="R100" s="106"/>
      <x:c r="S100" s="106"/>
      <x:c r="T100" s="106"/>
      <x:c r="U100" s="106"/>
      <x:c r="V100" s="106"/>
      <x:c r="W100" s="106"/>
      <x:c r="X100" s="106"/>
      <x:c r="Y100" s="106"/>
      <x:c r="Z100" s="106"/>
    </x:row>
  </x:sheetData>
  <x:mergeCells>
    <x:mergeCell ref="A1:G1"/>
    <x:mergeCell ref="A2:G2"/>
    <x:mergeCell ref="A24:F24"/>
  </x:mergeCells>
  <x:conditionalFormatting sqref="C38:F38">
    <x:cfRule type="expression" dxfId="1" priority="1">
      <x:formula>C38="FAIL"</x:formula>
    </x:cfRule>
    <x:cfRule type="expression" dxfId="2" priority="2">
      <x:formula>C38="PASS"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2" hidden="0" customWidth="1"/>
    <x:col min="3" max="3" width="17" hidden="0" customWidth="1"/>
    <x:col min="4" max="4" width="17" hidden="0" customWidth="1"/>
    <x:col min="5" max="5" width="17" hidden="0" customWidth="1"/>
    <x:col min="6" max="6" width="30" hidden="0" customWidth="1"/>
  </x:cols>
  <x:sheetData>
    <x:row r="1" ht="30" customHeight="1">
      <x:c r="A1" s="117" t="str">
        <x:v>06. Risk-Adjusted Business Case</x:v>
      </x:c>
      <x:c r="B1" s="117"/>
      <x:c r="C1" s="117"/>
      <x:c r="D1" s="117"/>
      <x:c r="E1" s="117"/>
      <x:c r="F1" s="117"/>
      <x:c r="G1" s="106"/>
      <x:c r="H1" s="106"/>
      <x:c r="I1" s="106"/>
      <x:c r="J1" s="106"/>
      <x:c r="K1" s="106"/>
      <x:c r="L1" s="106"/>
      <x:c r="M1" s="106"/>
      <x:c r="N1" s="106"/>
      <x:c r="O1" s="106"/>
      <x:c r="P1" s="106"/>
      <x:c r="Q1" s="106"/>
      <x:c r="R1" s="106"/>
      <x:c r="S1" s="106"/>
      <x:c r="T1" s="106"/>
      <x:c r="U1" s="106"/>
      <x:c r="V1" s="106"/>
      <x:c r="W1" s="106"/>
      <x:c r="X1" s="106"/>
      <x:c r="Y1" s="106"/>
      <x:c r="Z1" s="106"/>
    </x:row>
    <x:row r="2" ht="28" customHeight="1">
      <x:c r="A2" s="107" t="str">
        <x:v>Separates theoretical full-property potential from addressable scope, confidence and delivery cost.</x:v>
      </x:c>
      <x:c r="B2" s="107"/>
      <x:c r="C2" s="107"/>
      <x:c r="D2" s="107"/>
      <x:c r="E2" s="107"/>
      <x:c r="F2" s="107"/>
      <x:c r="G2" s="106"/>
      <x:c r="H2" s="106"/>
      <x:c r="I2" s="106"/>
      <x:c r="J2" s="106"/>
      <x:c r="K2" s="106"/>
      <x:c r="L2" s="106"/>
      <x:c r="M2" s="106"/>
      <x:c r="N2" s="106"/>
      <x:c r="O2" s="106"/>
      <x:c r="P2" s="106"/>
      <x:c r="Q2" s="106"/>
      <x:c r="R2" s="106"/>
      <x:c r="S2" s="106"/>
      <x:c r="T2" s="106"/>
      <x:c r="U2" s="106"/>
      <x:c r="V2" s="106"/>
      <x:c r="W2" s="106"/>
      <x:c r="X2" s="106"/>
      <x:c r="Y2" s="106"/>
      <x:c r="Z2" s="106"/>
    </x:row>
    <x:row r="3">
      <x:c r="A3" s="106"/>
      <x:c r="B3" s="106"/>
      <x:c r="C3" s="106"/>
      <x:c r="D3" s="106"/>
      <x:c r="E3" s="106"/>
      <x:c r="F3" s="106"/>
      <x:c r="G3" s="106"/>
      <x:c r="H3" s="106"/>
      <x:c r="I3" s="106"/>
      <x:c r="J3" s="106"/>
      <x:c r="K3" s="106"/>
      <x:c r="L3" s="106"/>
      <x:c r="M3" s="106"/>
      <x:c r="N3" s="106"/>
      <x:c r="O3" s="106"/>
      <x:c r="P3" s="106"/>
      <x:c r="Q3" s="106"/>
      <x:c r="R3" s="106"/>
      <x:c r="S3" s="106"/>
      <x:c r="T3" s="106"/>
      <x:c r="U3" s="106"/>
      <x:c r="V3" s="106"/>
      <x:c r="W3" s="106"/>
      <x:c r="X3" s="106"/>
      <x:c r="Y3" s="106"/>
      <x:c r="Z3" s="106"/>
    </x:row>
    <x:row r="4">
      <x:c r="A4" s="110" t="str">
        <x:v>Metric</x:v>
      </x:c>
      <x:c r="B4" s="110" t="str">
        <x:v>Unit</x:v>
      </x:c>
      <x:c r="C4" s="110" t="str">
        <x:v>Conservative</x:v>
      </x:c>
      <x:c r="D4" s="110" t="str">
        <x:v>Moderate</x:v>
      </x:c>
      <x:c r="E4" s="110" t="str">
        <x:v>Stretch</x:v>
      </x:c>
      <x:c r="F4" s="110" t="str">
        <x:v>Interpretation</x:v>
      </x:c>
      <x:c r="G4" s="106"/>
      <x:c r="H4" s="106"/>
      <x:c r="I4" s="106"/>
      <x:c r="J4" s="106"/>
      <x:c r="K4" s="106"/>
      <x:c r="L4" s="106"/>
      <x:c r="M4" s="106"/>
      <x:c r="N4" s="106"/>
      <x:c r="O4" s="106"/>
      <x:c r="P4" s="106"/>
      <x:c r="Q4" s="106"/>
      <x:c r="R4" s="106"/>
      <x:c r="S4" s="106"/>
      <x:c r="T4" s="106"/>
      <x:c r="U4" s="106"/>
      <x:c r="V4" s="106"/>
      <x:c r="W4" s="106"/>
      <x:c r="X4" s="106"/>
      <x:c r="Y4" s="106"/>
      <x:c r="Z4" s="106"/>
    </x:row>
    <x:row r="5">
      <x:c r="A5" s="106" t="str">
        <x:v>Annualised GOP uplift - full theoretical scenario</x:v>
      </x:c>
      <x:c r="B5" s="106" t="str">
        <x:v>HK$</x:v>
      </x:c>
      <x:c r="C5" s="136" t="n">
        <x:f>'05_Scenarios'!D37</x:f>
        <x:v>2693099.9999999553</x:v>
      </x:c>
      <x:c r="D5" s="136" t="n">
        <x:f>'05_Scenarios'!E37</x:f>
        <x:v>9392400</x:v>
      </x:c>
      <x:c r="E5" s="136" t="n">
        <x:f>'05_Scenarios'!F37</x:f>
        <x:v>19533600</x:v>
      </x:c>
      <x:c r="F5" s="106" t="str">
        <x:v>Not assumed fully realisable</x:v>
      </x:c>
      <x:c r="G5" s="106"/>
      <x:c r="H5" s="106"/>
      <x:c r="I5" s="106"/>
      <x:c r="J5" s="106"/>
      <x:c r="K5" s="106"/>
      <x:c r="L5" s="106"/>
      <x:c r="M5" s="106"/>
      <x:c r="N5" s="106"/>
      <x:c r="O5" s="106"/>
      <x:c r="P5" s="106"/>
      <x:c r="Q5" s="106"/>
      <x:c r="R5" s="106"/>
      <x:c r="S5" s="106"/>
      <x:c r="T5" s="106"/>
      <x:c r="U5" s="106"/>
      <x:c r="V5" s="106"/>
      <x:c r="W5" s="106"/>
      <x:c r="X5" s="106"/>
      <x:c r="Y5" s="106"/>
      <x:c r="Z5" s="106"/>
    </x:row>
    <x:row r="6">
      <x:c r="A6" s="106" t="str">
        <x:v>Addressable share</x:v>
      </x:c>
      <x:c r="B6" s="106" t="str">
        <x:v>%</x:v>
      </x:c>
      <x:c r="C6" s="119" t="n">
        <x:v>0.6</x:v>
      </x:c>
      <x:c r="D6" s="119" t="n">
        <x:v>0.5</x:v>
      </x:c>
      <x:c r="E6" s="119" t="n">
        <x:v>0.45</x:v>
      </x:c>
      <x:c r="F6" s="106" t="str">
        <x:v>Portion realistically in scope</x:v>
      </x:c>
      <x:c r="G6" s="106"/>
      <x:c r="H6" s="106"/>
      <x:c r="I6" s="106"/>
      <x:c r="J6" s="106"/>
      <x:c r="K6" s="106"/>
      <x:c r="L6" s="106"/>
      <x:c r="M6" s="106"/>
      <x:c r="N6" s="106"/>
      <x:c r="O6" s="106"/>
      <x:c r="P6" s="106"/>
      <x:c r="Q6" s="106"/>
      <x:c r="R6" s="106"/>
      <x:c r="S6" s="106"/>
      <x:c r="T6" s="106"/>
      <x:c r="U6" s="106"/>
      <x:c r="V6" s="106"/>
      <x:c r="W6" s="106"/>
      <x:c r="X6" s="106"/>
      <x:c r="Y6" s="106"/>
      <x:c r="Z6" s="106"/>
    </x:row>
    <x:row r="7">
      <x:c r="A7" s="106" t="str">
        <x:v>Confidence / realisation factor</x:v>
      </x:c>
      <x:c r="B7" s="106" t="str">
        <x:v>%</x:v>
      </x:c>
      <x:c r="C7" s="119" t="n">
        <x:v>0.9</x:v>
      </x:c>
      <x:c r="D7" s="119" t="n">
        <x:v>0.8</x:v>
      </x:c>
      <x:c r="E7" s="119" t="n">
        <x:v>0.6</x:v>
      </x:c>
      <x:c r="F7" s="106" t="str">
        <x:v>Risk adjustment</x:v>
      </x:c>
      <x:c r="G7" s="106"/>
      <x:c r="H7" s="106"/>
      <x:c r="I7" s="106"/>
      <x:c r="J7" s="106"/>
      <x:c r="K7" s="106"/>
      <x:c r="L7" s="106"/>
      <x:c r="M7" s="106"/>
      <x:c r="N7" s="106"/>
      <x:c r="O7" s="106"/>
      <x:c r="P7" s="106"/>
      <x:c r="Q7" s="106"/>
      <x:c r="R7" s="106"/>
      <x:c r="S7" s="106"/>
      <x:c r="T7" s="106"/>
      <x:c r="U7" s="106"/>
      <x:c r="V7" s="106"/>
      <x:c r="W7" s="106"/>
      <x:c r="X7" s="106"/>
      <x:c r="Y7" s="106"/>
      <x:c r="Z7" s="106"/>
    </x:row>
    <x:row r="8">
      <x:c r="A8" s="106" t="str">
        <x:v>Risk-adjusted annual gross benefit</x:v>
      </x:c>
      <x:c r="B8" s="106" t="str">
        <x:v>HK$</x:v>
      </x:c>
      <x:c r="C8" s="121" t="n">
        <x:f>C5*C6*C7</x:f>
        <x:v>1454273.999999976</x:v>
      </x:c>
      <x:c r="D8" s="121" t="n">
        <x:f>D5*D6*D7</x:f>
        <x:v>3756960</x:v>
      </x:c>
      <x:c r="E8" s="121" t="n">
        <x:f>E5*E6*E7</x:f>
        <x:v>5274072</x:v>
      </x:c>
      <x:c r="F8" s="106" t="str">
        <x:v>Illustrative run-rate benefit</x:v>
      </x:c>
      <x:c r="G8" s="106"/>
      <x:c r="H8" s="106"/>
      <x:c r="I8" s="106"/>
      <x:c r="J8" s="106"/>
      <x:c r="K8" s="106"/>
      <x:c r="L8" s="106"/>
      <x:c r="M8" s="106"/>
      <x:c r="N8" s="106"/>
      <x:c r="O8" s="106"/>
      <x:c r="P8" s="106"/>
      <x:c r="Q8" s="106"/>
      <x:c r="R8" s="106"/>
      <x:c r="S8" s="106"/>
      <x:c r="T8" s="106"/>
      <x:c r="U8" s="106"/>
      <x:c r="V8" s="106"/>
      <x:c r="W8" s="106"/>
      <x:c r="X8" s="106"/>
      <x:c r="Y8" s="106"/>
      <x:c r="Z8" s="106"/>
    </x:row>
    <x:row r="9">
      <x:c r="A9" s="106" t="str">
        <x:v>One-time implementation cost</x:v>
      </x:c>
      <x:c r="B9" s="106" t="str">
        <x:v>HK$</x:v>
      </x:c>
      <x:c r="C9" s="118" t="n">
        <x:v>600000</x:v>
      </x:c>
      <x:c r="D9" s="118" t="n">
        <x:v>1400000</x:v>
      </x:c>
      <x:c r="E9" s="118" t="n">
        <x:v>2500000</x:v>
      </x:c>
      <x:c r="F9" s="106" t="str">
        <x:v>Pilot / change / systems / training</x:v>
      </x:c>
      <x:c r="G9" s="106"/>
      <x:c r="H9" s="106"/>
      <x:c r="I9" s="106"/>
      <x:c r="J9" s="106"/>
      <x:c r="K9" s="106"/>
      <x:c r="L9" s="106"/>
      <x:c r="M9" s="106"/>
      <x:c r="N9" s="106"/>
      <x:c r="O9" s="106"/>
      <x:c r="P9" s="106"/>
      <x:c r="Q9" s="106"/>
      <x:c r="R9" s="106"/>
      <x:c r="S9" s="106"/>
      <x:c r="T9" s="106"/>
      <x:c r="U9" s="106"/>
      <x:c r="V9" s="106"/>
      <x:c r="W9" s="106"/>
      <x:c r="X9" s="106"/>
      <x:c r="Y9" s="106"/>
      <x:c r="Z9" s="106"/>
    </x:row>
    <x:row r="10">
      <x:c r="A10" s="106" t="str">
        <x:v>Annual recurring cost</x:v>
      </x:c>
      <x:c r="B10" s="106" t="str">
        <x:v>HK$</x:v>
      </x:c>
      <x:c r="C10" s="118" t="n">
        <x:v>300000</x:v>
      </x:c>
      <x:c r="D10" s="118" t="n">
        <x:v>800000</x:v>
      </x:c>
      <x:c r="E10" s="118" t="n">
        <x:v>1500000</x:v>
      </x:c>
      <x:c r="F10" s="106" t="str">
        <x:v>Ongoing support / controls</x:v>
      </x:c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106"/>
      <x:c r="Q10" s="106"/>
      <x:c r="R10" s="106"/>
      <x:c r="S10" s="106"/>
      <x:c r="T10" s="106"/>
      <x:c r="U10" s="106"/>
      <x:c r="V10" s="106"/>
      <x:c r="W10" s="106"/>
      <x:c r="X10" s="106"/>
      <x:c r="Y10" s="106"/>
      <x:c r="Z10" s="106"/>
    </x:row>
    <x:row r="11">
      <x:c r="A11" s="106" t="str">
        <x:v>First-year total cost</x:v>
      </x:c>
      <x:c r="B11" s="106" t="str">
        <x:v>HK$</x:v>
      </x:c>
      <x:c r="C11" s="121" t="n">
        <x:f>C9+C10</x:f>
        <x:v>900000</x:v>
      </x:c>
      <x:c r="D11" s="121" t="n">
        <x:f>D9+D10</x:f>
        <x:v>2200000</x:v>
      </x:c>
      <x:c r="E11" s="121" t="n">
        <x:f>E9+E10</x:f>
        <x:v>4000000</x:v>
      </x:c>
      <x:c r="F11" s="106" t="str">
        <x:v>Implementation + year-one recurring</x:v>
      </x:c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106"/>
      <x:c r="Q11" s="106"/>
      <x:c r="R11" s="106"/>
      <x:c r="S11" s="106"/>
      <x:c r="T11" s="106"/>
      <x:c r="U11" s="106"/>
      <x:c r="V11" s="106"/>
      <x:c r="W11" s="106"/>
      <x:c r="X11" s="106"/>
      <x:c r="Y11" s="106"/>
      <x:c r="Z11" s="106"/>
    </x:row>
    <x:row r="12">
      <x:c r="A12" s="106" t="str">
        <x:v>First-year net benefit</x:v>
      </x:c>
      <x:c r="B12" s="106" t="str">
        <x:v>HK$</x:v>
      </x:c>
      <x:c r="C12" s="121" t="n">
        <x:f>C8-C11</x:f>
        <x:v>554273.999999976</x:v>
      </x:c>
      <x:c r="D12" s="121" t="n">
        <x:f>D8-D11</x:f>
        <x:v>1556960</x:v>
      </x:c>
      <x:c r="E12" s="121" t="n">
        <x:f>E8-E11</x:f>
        <x:v>1274072</x:v>
      </x:c>
      <x:c r="F12" s="106" t="str">
        <x:v>Risk-adjusted</x:v>
      </x:c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106"/>
      <x:c r="Q12" s="106"/>
      <x:c r="R12" s="106"/>
      <x:c r="S12" s="106"/>
      <x:c r="T12" s="106"/>
      <x:c r="U12" s="106"/>
      <x:c r="V12" s="106"/>
      <x:c r="W12" s="106"/>
      <x:c r="X12" s="106"/>
      <x:c r="Y12" s="106"/>
      <x:c r="Z12" s="106"/>
    </x:row>
    <x:row r="13">
      <x:c r="A13" s="106" t="str">
        <x:v>First-year ROI</x:v>
      </x:c>
      <x:c r="B13" s="106" t="str">
        <x:v>%</x:v>
      </x:c>
      <x:c r="C13" s="122" t="n">
        <x:f>C12/C11</x:f>
        <x:v>0.6158599999999733</x:v>
      </x:c>
      <x:c r="D13" s="122" t="n">
        <x:f>D12/D11</x:f>
        <x:v>0.707709090909091</x:v>
      </x:c>
      <x:c r="E13" s="122" t="n">
        <x:f>E12/E11</x:f>
        <x:v>0.318518</x:v>
      </x:c>
      <x:c r="F13" s="106" t="str">
        <x:v>Net benefit / first-year cost</x:v>
      </x:c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106"/>
      <x:c r="Q13" s="106"/>
      <x:c r="R13" s="106"/>
      <x:c r="S13" s="106"/>
      <x:c r="T13" s="106"/>
      <x:c r="U13" s="106"/>
      <x:c r="V13" s="106"/>
      <x:c r="W13" s="106"/>
      <x:c r="X13" s="106"/>
      <x:c r="Y13" s="106"/>
      <x:c r="Z13" s="106"/>
    </x:row>
    <x:row r="14">
      <x:c r="A14" s="106" t="str">
        <x:v>Payback</x:v>
      </x:c>
      <x:c r="B14" s="106" t="str">
        <x:v>months</x:v>
      </x:c>
      <x:c r="C14" s="149" t="n">
        <x:f>C11/C8*12</x:f>
        <x:v>7.426385949277906</x:v>
      </x:c>
      <x:c r="D14" s="149" t="n">
        <x:f>D11/D8*12</x:f>
        <x:v>7.026957966015075</x:v>
      </x:c>
      <x:c r="E14" s="149" t="n">
        <x:f>E11/E8*12</x:f>
        <x:v>9.101127174600574</x:v>
      </x:c>
      <x:c r="F14" s="106" t="str">
        <x:v>Using risk-adjusted gross benefit</x:v>
      </x:c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106"/>
      <x:c r="Q14" s="106"/>
      <x:c r="R14" s="106"/>
      <x:c r="S14" s="106"/>
      <x:c r="T14" s="106"/>
      <x:c r="U14" s="106"/>
      <x:c r="V14" s="106"/>
      <x:c r="W14" s="106"/>
      <x:c r="X14" s="106"/>
      <x:c r="Y14" s="106"/>
      <x:c r="Z14" s="106"/>
    </x:row>
    <x:row r="15">
      <x:c r="A15" s="106" t="str">
        <x:v>3-year NPV @ 10%</x:v>
      </x:c>
      <x:c r="B15" s="106" t="str">
        <x:v>HK$</x:v>
      </x:c>
      <x:c r="C15" s="121" t="n">
        <x:f>-C9+(C8-C10)/1.1+(C8-C10)/1.1^2+(C8-C10)/1.1^3</x:f>
        <x:v>2270508.595041262</x:v>
      </x:c>
      <x:c r="D15" s="121" t="n">
        <x:f>-D9+(D8-D10)/1.1+(D8-D10)/1.1^2+(D8-D10)/1.1^3</x:f>
        <x:v>5953521.863260705</x:v>
      </x:c>
      <x:c r="E15" s="121" t="n">
        <x:f>-E9+(E8-E10)/1.1+(E8-E10)/1.1^2+(E8-E10)/1.1^3</x:f>
        <x:v>6885558.467317805</x:v>
      </x:c>
      <x:c r="F15" s="106" t="str">
        <x:v>Illustrative only</x:v>
      </x:c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106"/>
      <x:c r="Q15" s="106"/>
      <x:c r="R15" s="106"/>
      <x:c r="S15" s="106"/>
      <x:c r="T15" s="106"/>
      <x:c r="U15" s="106"/>
      <x:c r="V15" s="106"/>
      <x:c r="W15" s="106"/>
      <x:c r="X15" s="106"/>
      <x:c r="Y15" s="106"/>
      <x:c r="Z15" s="106"/>
    </x:row>
    <x:row r="16">
      <x:c r="A16" s="106" t="str">
        <x:v>Guest guardrail</x:v>
      </x:c>
      <x:c r="B16" s="106" t="str">
        <x:v>text</x:v>
      </x:c>
      <x:c r="C16" s="150" t="str">
        <x:f>'05_Scenarios'!D38</x:f>
        <x:v>PASS</x:v>
      </x:c>
      <x:c r="D16" s="150" t="str">
        <x:f>'05_Scenarios'!E38</x:f>
        <x:v>PASS</x:v>
      </x:c>
      <x:c r="E16" s="150" t="str">
        <x:f>'05_Scenarios'!F38</x:f>
        <x:v>FAIL</x:v>
      </x:c>
      <x:c r="F16" s="106" t="str">
        <x:v>Must pass</x:v>
      </x:c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106"/>
      <x:c r="Q16" s="106"/>
      <x:c r="R16" s="106"/>
      <x:c r="S16" s="106"/>
      <x:c r="T16" s="106"/>
      <x:c r="U16" s="106"/>
      <x:c r="V16" s="106"/>
      <x:c r="W16" s="106"/>
      <x:c r="X16" s="106"/>
      <x:c r="Y16" s="106"/>
      <x:c r="Z16" s="106"/>
    </x:row>
    <x:row r="17">
      <x:c r="A17" s="106" t="str">
        <x:v>Recommendation score</x:v>
      </x:c>
      <x:c r="B17" s="106" t="str">
        <x:v>text</x:v>
      </x:c>
      <x:c r="C17" s="146" t="str">
        <x:f>IF(C16="FAIL","Do not proceed",IF(AND(C13&gt;0,C14&lt;12),"Viable","Review"))</x:f>
        <x:v>Viable</x:v>
      </x:c>
      <x:c r="D17" s="146" t="str">
        <x:f>IF(D16="FAIL","Do not proceed",IF(AND(D13&gt;0,D14&lt;12),"Preferred","Review"))</x:f>
        <x:v>Preferred</x:v>
      </x:c>
      <x:c r="E17" s="146" t="str">
        <x:f>IF(E16="FAIL","Do not proceed",IF(AND(E13&gt;0,E14&lt;12),"Viable","Review"))</x:f>
        <x:v>Do not proceed</x:v>
      </x:c>
      <x:c r="F17" s="106" t="str">
        <x:v>Moderate preferred if guardrail passes</x:v>
      </x:c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106"/>
      <x:c r="Q17" s="106"/>
      <x:c r="R17" s="106"/>
      <x:c r="S17" s="106"/>
      <x:c r="T17" s="106"/>
      <x:c r="U17" s="106"/>
      <x:c r="V17" s="106"/>
      <x:c r="W17" s="106"/>
      <x:c r="X17" s="106"/>
      <x:c r="Y17" s="106"/>
      <x:c r="Z17" s="106"/>
    </x:row>
    <x:row r="18">
      <x:c r="A18" s="106"/>
      <x:c r="B18" s="106"/>
      <x:c r="C18" s="106"/>
      <x:c r="D18" s="106"/>
      <x:c r="E18" s="106"/>
      <x:c r="F18" s="106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106"/>
      <x:c r="Q18" s="106"/>
      <x:c r="R18" s="106"/>
      <x:c r="S18" s="106"/>
      <x:c r="T18" s="106"/>
      <x:c r="U18" s="106"/>
      <x:c r="V18" s="106"/>
      <x:c r="W18" s="106"/>
      <x:c r="X18" s="106"/>
      <x:c r="Y18" s="106"/>
      <x:c r="Z18" s="106"/>
    </x:row>
    <x:row r="19" ht="2" customHeight="1">
      <x:c r="A19" s="106"/>
      <x:c r="B19" s="106"/>
      <x:c r="C19" s="106"/>
      <x:c r="D19" s="106"/>
      <x:c r="E19" s="106"/>
      <x:c r="F19" s="106"/>
      <x:c r="G19" s="106"/>
      <x:c r="H19" s="169" t="str">
        <x:v>Metric</x:v>
      </x:c>
      <x:c r="I19" s="169" t="str">
        <x:v>Conservative</x:v>
      </x:c>
      <x:c r="J19" s="169" t="str">
        <x:v>Moderate</x:v>
      </x:c>
      <x:c r="K19" s="169" t="str">
        <x:v>Stretch</x:v>
      </x:c>
      <x:c r="L19" s="106"/>
      <x:c r="M19" s="106"/>
      <x:c r="N19" s="106"/>
      <x:c r="O19" s="106"/>
      <x:c r="P19" s="106"/>
      <x:c r="Q19" s="106"/>
      <x:c r="R19" s="106"/>
      <x:c r="S19" s="106"/>
      <x:c r="T19" s="106"/>
      <x:c r="U19" s="106"/>
      <x:c r="V19" s="106"/>
      <x:c r="W19" s="106"/>
      <x:c r="X19" s="106"/>
      <x:c r="Y19" s="106"/>
      <x:c r="Z19" s="106"/>
    </x:row>
    <x:row r="20" ht="2" customHeight="1">
      <x:c r="A20" s="106"/>
      <x:c r="B20" s="106"/>
      <x:c r="C20" s="106"/>
      <x:c r="D20" s="106"/>
      <x:c r="E20" s="106"/>
      <x:c r="F20" s="106"/>
      <x:c r="G20" s="106"/>
      <x:c r="H20" s="169" t="str">
        <x:v>Risk-adjusted gross</x:v>
      </x:c>
      <x:c r="I20" s="170" t="n">
        <x:f>C8</x:f>
        <x:v>1454273.999999976</x:v>
      </x:c>
      <x:c r="J20" s="170" t="n">
        <x:f>D8</x:f>
        <x:v>3756960</x:v>
      </x:c>
      <x:c r="K20" s="170" t="n">
        <x:f>E8</x:f>
        <x:v>5274072</x:v>
      </x:c>
      <x:c r="L20" s="106"/>
      <x:c r="M20" s="106"/>
      <x:c r="N20" s="106"/>
      <x:c r="O20" s="106"/>
      <x:c r="P20" s="106"/>
      <x:c r="Q20" s="106"/>
      <x:c r="R20" s="106"/>
      <x:c r="S20" s="106"/>
      <x:c r="T20" s="106"/>
      <x:c r="U20" s="106"/>
      <x:c r="V20" s="106"/>
      <x:c r="W20" s="106"/>
      <x:c r="X20" s="106"/>
      <x:c r="Y20" s="106"/>
      <x:c r="Z20" s="106"/>
    </x:row>
    <x:row r="21">
      <x:c r="A21" s="106"/>
      <x:c r="B21" s="106"/>
      <x:c r="C21" s="106"/>
      <x:c r="D21" s="106"/>
      <x:c r="E21" s="106"/>
      <x:c r="F21" s="106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106"/>
      <x:c r="Q21" s="106"/>
      <x:c r="R21" s="106"/>
      <x:c r="S21" s="106"/>
      <x:c r="T21" s="106"/>
      <x:c r="U21" s="106"/>
      <x:c r="V21" s="106"/>
      <x:c r="W21" s="106"/>
      <x:c r="X21" s="106"/>
      <x:c r="Y21" s="106"/>
      <x:c r="Z21" s="106"/>
    </x:row>
    <x:row r="22">
      <x:c r="A22" s="106"/>
      <x:c r="B22" s="106"/>
      <x:c r="C22" s="106"/>
      <x:c r="D22" s="106"/>
      <x:c r="E22" s="106"/>
      <x:c r="F22" s="106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106"/>
      <x:c r="Q22" s="106"/>
      <x:c r="R22" s="106"/>
      <x:c r="S22" s="106"/>
      <x:c r="T22" s="106"/>
      <x:c r="U22" s="106"/>
      <x:c r="V22" s="106"/>
      <x:c r="W22" s="106"/>
      <x:c r="X22" s="106"/>
      <x:c r="Y22" s="106"/>
      <x:c r="Z22" s="106"/>
    </x:row>
    <x:row r="23">
      <x:c r="A23" s="106"/>
      <x:c r="B23" s="106"/>
      <x:c r="C23" s="106"/>
      <x:c r="D23" s="106"/>
      <x:c r="E23" s="106"/>
      <x:c r="F23" s="106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106"/>
      <x:c r="Q23" s="106"/>
      <x:c r="R23" s="106"/>
      <x:c r="S23" s="106"/>
      <x:c r="T23" s="106"/>
      <x:c r="U23" s="106"/>
      <x:c r="V23" s="106"/>
      <x:c r="W23" s="106"/>
      <x:c r="X23" s="106"/>
      <x:c r="Y23" s="106"/>
      <x:c r="Z23" s="106"/>
    </x:row>
    <x:row r="24">
      <x:c r="A24" s="106"/>
      <x:c r="B24" s="106"/>
      <x:c r="C24" s="106"/>
      <x:c r="D24" s="106"/>
      <x:c r="E24" s="106"/>
      <x:c r="F24" s="106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106"/>
      <x:c r="Q24" s="106"/>
      <x:c r="R24" s="106"/>
      <x:c r="S24" s="106"/>
      <x:c r="T24" s="106"/>
      <x:c r="U24" s="106"/>
      <x:c r="V24" s="106"/>
      <x:c r="W24" s="106"/>
      <x:c r="X24" s="106"/>
      <x:c r="Y24" s="106"/>
      <x:c r="Z24" s="106"/>
    </x:row>
    <x:row r="25">
      <x:c r="A25" s="106"/>
      <x:c r="B25" s="106"/>
      <x:c r="C25" s="106"/>
      <x:c r="D25" s="106"/>
      <x:c r="E25" s="106"/>
      <x:c r="F25" s="106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106"/>
      <x:c r="Q25" s="106"/>
      <x:c r="R25" s="106"/>
      <x:c r="S25" s="106"/>
      <x:c r="T25" s="106"/>
      <x:c r="U25" s="106"/>
      <x:c r="V25" s="106"/>
      <x:c r="W25" s="106"/>
      <x:c r="X25" s="106"/>
      <x:c r="Y25" s="106"/>
      <x:c r="Z25" s="106"/>
    </x:row>
    <x:row r="26">
      <x:c r="A26" s="106"/>
      <x:c r="B26" s="106"/>
      <x:c r="C26" s="106"/>
      <x:c r="D26" s="106"/>
      <x:c r="E26" s="106"/>
      <x:c r="F26" s="106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106"/>
      <x:c r="Q26" s="106"/>
      <x:c r="R26" s="106"/>
      <x:c r="S26" s="106"/>
      <x:c r="T26" s="106"/>
      <x:c r="U26" s="106"/>
      <x:c r="V26" s="106"/>
      <x:c r="W26" s="106"/>
      <x:c r="X26" s="106"/>
      <x:c r="Y26" s="106"/>
      <x:c r="Z26" s="106"/>
    </x:row>
    <x:row r="27">
      <x:c r="A27" s="106"/>
      <x:c r="B27" s="106"/>
      <x:c r="C27" s="106"/>
      <x:c r="D27" s="106"/>
      <x:c r="E27" s="106"/>
      <x:c r="F27" s="106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106"/>
      <x:c r="Q27" s="106"/>
      <x:c r="R27" s="106"/>
      <x:c r="S27" s="106"/>
      <x:c r="T27" s="106"/>
      <x:c r="U27" s="106"/>
      <x:c r="V27" s="106"/>
      <x:c r="W27" s="106"/>
      <x:c r="X27" s="106"/>
      <x:c r="Y27" s="106"/>
      <x:c r="Z27" s="106"/>
    </x:row>
    <x:row r="28">
      <x:c r="A28" s="106"/>
      <x:c r="B28" s="106"/>
      <x:c r="C28" s="106"/>
      <x:c r="D28" s="106"/>
      <x:c r="E28" s="106"/>
      <x:c r="F28" s="106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106"/>
      <x:c r="Q28" s="106"/>
      <x:c r="R28" s="106"/>
      <x:c r="S28" s="106"/>
      <x:c r="T28" s="106"/>
      <x:c r="U28" s="106"/>
      <x:c r="V28" s="106"/>
      <x:c r="W28" s="106"/>
      <x:c r="X28" s="106"/>
      <x:c r="Y28" s="106"/>
      <x:c r="Z28" s="106"/>
    </x:row>
    <x:row r="29">
      <x:c r="A29" s="106"/>
      <x:c r="B29" s="106"/>
      <x:c r="C29" s="106"/>
      <x:c r="D29" s="106"/>
      <x:c r="E29" s="106"/>
      <x:c r="F29" s="106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106"/>
      <x:c r="Q29" s="106"/>
      <x:c r="R29" s="106"/>
      <x:c r="S29" s="106"/>
      <x:c r="T29" s="106"/>
      <x:c r="U29" s="106"/>
      <x:c r="V29" s="106"/>
      <x:c r="W29" s="106"/>
      <x:c r="X29" s="106"/>
      <x:c r="Y29" s="106"/>
      <x:c r="Z29" s="106"/>
    </x:row>
    <x:row r="30">
      <x:c r="A30" s="106"/>
      <x:c r="B30" s="106"/>
      <x:c r="C30" s="106"/>
      <x:c r="D30" s="106"/>
      <x:c r="E30" s="106"/>
      <x:c r="F30" s="106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106"/>
      <x:c r="Q30" s="106"/>
      <x:c r="R30" s="106"/>
      <x:c r="S30" s="106"/>
      <x:c r="T30" s="106"/>
      <x:c r="U30" s="106"/>
      <x:c r="V30" s="106"/>
      <x:c r="W30" s="106"/>
      <x:c r="X30" s="106"/>
      <x:c r="Y30" s="106"/>
      <x:c r="Z30" s="106"/>
    </x:row>
    <x:row r="31">
      <x:c r="A31" s="106"/>
      <x:c r="B31" s="106"/>
      <x:c r="C31" s="106"/>
      <x:c r="D31" s="106"/>
      <x:c r="E31" s="106"/>
      <x:c r="F31" s="106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106"/>
      <x:c r="Q31" s="106"/>
      <x:c r="R31" s="106"/>
      <x:c r="S31" s="106"/>
      <x:c r="T31" s="106"/>
      <x:c r="U31" s="106"/>
      <x:c r="V31" s="106"/>
      <x:c r="W31" s="106"/>
      <x:c r="X31" s="106"/>
      <x:c r="Y31" s="106"/>
      <x:c r="Z31" s="106"/>
    </x:row>
    <x:row r="32">
      <x:c r="A32" s="106"/>
      <x:c r="B32" s="106"/>
      <x:c r="C32" s="106"/>
      <x:c r="D32" s="106"/>
      <x:c r="E32" s="106"/>
      <x:c r="F32" s="106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106"/>
      <x:c r="Q32" s="106"/>
      <x:c r="R32" s="106"/>
      <x:c r="S32" s="106"/>
      <x:c r="T32" s="106"/>
      <x:c r="U32" s="106"/>
      <x:c r="V32" s="106"/>
      <x:c r="W32" s="106"/>
      <x:c r="X32" s="106"/>
      <x:c r="Y32" s="106"/>
      <x:c r="Z32" s="106"/>
    </x:row>
    <x:row r="33">
      <x:c r="A33" s="106"/>
      <x:c r="B33" s="106"/>
      <x:c r="C33" s="106"/>
      <x:c r="D33" s="106"/>
      <x:c r="E33" s="106"/>
      <x:c r="F33" s="106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106"/>
      <x:c r="Q33" s="106"/>
      <x:c r="R33" s="106"/>
      <x:c r="S33" s="106"/>
      <x:c r="T33" s="106"/>
      <x:c r="U33" s="106"/>
      <x:c r="V33" s="106"/>
      <x:c r="W33" s="106"/>
      <x:c r="X33" s="106"/>
      <x:c r="Y33" s="106"/>
      <x:c r="Z33" s="106"/>
    </x:row>
    <x:row r="34">
      <x:c r="A34" s="106"/>
      <x:c r="B34" s="106"/>
      <x:c r="C34" s="106"/>
      <x:c r="D34" s="106"/>
      <x:c r="E34" s="106"/>
      <x:c r="F34" s="106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106"/>
      <x:c r="Q34" s="106"/>
      <x:c r="R34" s="106"/>
      <x:c r="S34" s="106"/>
      <x:c r="T34" s="106"/>
      <x:c r="U34" s="106"/>
      <x:c r="V34" s="106"/>
      <x:c r="W34" s="106"/>
      <x:c r="X34" s="106"/>
      <x:c r="Y34" s="106"/>
      <x:c r="Z34" s="106"/>
    </x:row>
    <x:row r="35">
      <x:c r="A35" s="106"/>
      <x:c r="B35" s="106"/>
      <x:c r="C35" s="106"/>
      <x:c r="D35" s="106"/>
      <x:c r="E35" s="106"/>
      <x:c r="F35" s="106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106"/>
      <x:c r="Q35" s="106"/>
      <x:c r="R35" s="106"/>
      <x:c r="S35" s="106"/>
      <x:c r="T35" s="106"/>
      <x:c r="U35" s="106"/>
      <x:c r="V35" s="106"/>
      <x:c r="W35" s="106"/>
      <x:c r="X35" s="106"/>
      <x:c r="Y35" s="106"/>
      <x:c r="Z35" s="106"/>
    </x:row>
    <x:row r="36">
      <x:c r="A36" s="106"/>
      <x:c r="B36" s="106"/>
      <x:c r="C36" s="106"/>
      <x:c r="D36" s="106"/>
      <x:c r="E36" s="106"/>
      <x:c r="F36" s="106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106"/>
      <x:c r="Q36" s="106"/>
      <x:c r="R36" s="106"/>
      <x:c r="S36" s="106"/>
      <x:c r="T36" s="106"/>
      <x:c r="U36" s="106"/>
      <x:c r="V36" s="106"/>
      <x:c r="W36" s="106"/>
      <x:c r="X36" s="106"/>
      <x:c r="Y36" s="106"/>
      <x:c r="Z36" s="106"/>
    </x:row>
    <x:row r="37">
      <x:c r="A37" s="106"/>
      <x:c r="B37" s="106"/>
      <x:c r="C37" s="106"/>
      <x:c r="D37" s="106"/>
      <x:c r="E37" s="106"/>
      <x:c r="F37" s="106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106"/>
      <x:c r="Q37" s="106"/>
      <x:c r="R37" s="106"/>
      <x:c r="S37" s="106"/>
      <x:c r="T37" s="106"/>
      <x:c r="U37" s="106"/>
      <x:c r="V37" s="106"/>
      <x:c r="W37" s="106"/>
      <x:c r="X37" s="106"/>
      <x:c r="Y37" s="106"/>
      <x:c r="Z37" s="106"/>
    </x:row>
    <x:row r="38">
      <x:c r="A38" s="106"/>
      <x:c r="B38" s="106"/>
      <x:c r="C38" s="106"/>
      <x:c r="D38" s="106"/>
      <x:c r="E38" s="106"/>
      <x:c r="F38" s="106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106"/>
      <x:c r="Q38" s="106"/>
      <x:c r="R38" s="106"/>
      <x:c r="S38" s="106"/>
      <x:c r="T38" s="106"/>
      <x:c r="U38" s="106"/>
      <x:c r="V38" s="106"/>
      <x:c r="W38" s="106"/>
      <x:c r="X38" s="106"/>
      <x:c r="Y38" s="106"/>
      <x:c r="Z38" s="106"/>
    </x:row>
    <x:row r="39">
      <x:c r="A39" s="106"/>
      <x:c r="B39" s="106"/>
      <x:c r="C39" s="106"/>
      <x:c r="D39" s="106"/>
      <x:c r="E39" s="106"/>
      <x:c r="F39" s="106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106"/>
      <x:c r="Q39" s="106"/>
      <x:c r="R39" s="106"/>
      <x:c r="S39" s="106"/>
      <x:c r="T39" s="106"/>
      <x:c r="U39" s="106"/>
      <x:c r="V39" s="106"/>
      <x:c r="W39" s="106"/>
      <x:c r="X39" s="106"/>
      <x:c r="Y39" s="106"/>
      <x:c r="Z39" s="106"/>
    </x:row>
    <x:row r="40">
      <x:c r="A40" s="106"/>
      <x:c r="B40" s="106"/>
      <x:c r="C40" s="106"/>
      <x:c r="D40" s="106"/>
      <x:c r="E40" s="106"/>
      <x:c r="F40" s="106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106"/>
      <x:c r="Q40" s="106"/>
      <x:c r="R40" s="106"/>
      <x:c r="S40" s="106"/>
      <x:c r="T40" s="106"/>
      <x:c r="U40" s="106"/>
      <x:c r="V40" s="106"/>
      <x:c r="W40" s="106"/>
      <x:c r="X40" s="106"/>
      <x:c r="Y40" s="106"/>
      <x:c r="Z40" s="106"/>
    </x:row>
    <x:row r="41">
      <x:c r="A41" s="106"/>
      <x:c r="B41" s="106"/>
      <x:c r="C41" s="106"/>
      <x:c r="D41" s="106"/>
      <x:c r="E41" s="106"/>
      <x:c r="F41" s="106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106"/>
      <x:c r="Q41" s="106"/>
      <x:c r="R41" s="106"/>
      <x:c r="S41" s="106"/>
      <x:c r="T41" s="106"/>
      <x:c r="U41" s="106"/>
      <x:c r="V41" s="106"/>
      <x:c r="W41" s="106"/>
      <x:c r="X41" s="106"/>
      <x:c r="Y41" s="106"/>
      <x:c r="Z41" s="106"/>
    </x:row>
    <x:row r="42">
      <x:c r="A42" s="106"/>
      <x:c r="B42" s="106"/>
      <x:c r="C42" s="106"/>
      <x:c r="D42" s="106"/>
      <x:c r="E42" s="106"/>
      <x:c r="F42" s="106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106"/>
      <x:c r="Q42" s="106"/>
      <x:c r="R42" s="106"/>
      <x:c r="S42" s="106"/>
      <x:c r="T42" s="106"/>
      <x:c r="U42" s="106"/>
      <x:c r="V42" s="106"/>
      <x:c r="W42" s="106"/>
      <x:c r="X42" s="106"/>
      <x:c r="Y42" s="106"/>
      <x:c r="Z42" s="106"/>
    </x:row>
    <x:row r="43">
      <x:c r="A43" s="106"/>
      <x:c r="B43" s="106"/>
      <x:c r="C43" s="106"/>
      <x:c r="D43" s="106"/>
      <x:c r="E43" s="106"/>
      <x:c r="F43" s="106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106"/>
      <x:c r="Q43" s="106"/>
      <x:c r="R43" s="106"/>
      <x:c r="S43" s="106"/>
      <x:c r="T43" s="106"/>
      <x:c r="U43" s="106"/>
      <x:c r="V43" s="106"/>
      <x:c r="W43" s="106"/>
      <x:c r="X43" s="106"/>
      <x:c r="Y43" s="106"/>
      <x:c r="Z43" s="106"/>
    </x:row>
    <x:row r="44">
      <x:c r="A44" s="106"/>
      <x:c r="B44" s="106"/>
      <x:c r="C44" s="106"/>
      <x:c r="D44" s="106"/>
      <x:c r="E44" s="106"/>
      <x:c r="F44" s="106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106"/>
      <x:c r="Q44" s="106"/>
      <x:c r="R44" s="106"/>
      <x:c r="S44" s="106"/>
      <x:c r="T44" s="106"/>
      <x:c r="U44" s="106"/>
      <x:c r="V44" s="106"/>
      <x:c r="W44" s="106"/>
      <x:c r="X44" s="106"/>
      <x:c r="Y44" s="106"/>
      <x:c r="Z44" s="106"/>
    </x:row>
    <x:row r="45">
      <x:c r="A45" s="106"/>
      <x:c r="B45" s="106"/>
      <x:c r="C45" s="106"/>
      <x:c r="D45" s="106"/>
      <x:c r="E45" s="106"/>
      <x:c r="F45" s="106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106"/>
      <x:c r="Q45" s="106"/>
      <x:c r="R45" s="106"/>
      <x:c r="S45" s="106"/>
      <x:c r="T45" s="106"/>
      <x:c r="U45" s="106"/>
      <x:c r="V45" s="106"/>
      <x:c r="W45" s="106"/>
      <x:c r="X45" s="106"/>
      <x:c r="Y45" s="106"/>
      <x:c r="Z45" s="106"/>
    </x:row>
    <x:row r="46">
      <x:c r="A46" s="106"/>
      <x:c r="B46" s="106"/>
      <x:c r="C46" s="106"/>
      <x:c r="D46" s="106"/>
      <x:c r="E46" s="106"/>
      <x:c r="F46" s="106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106"/>
      <x:c r="Q46" s="106"/>
      <x:c r="R46" s="106"/>
      <x:c r="S46" s="106"/>
      <x:c r="T46" s="106"/>
      <x:c r="U46" s="106"/>
      <x:c r="V46" s="106"/>
      <x:c r="W46" s="106"/>
      <x:c r="X46" s="106"/>
      <x:c r="Y46" s="106"/>
      <x:c r="Z46" s="106"/>
    </x:row>
    <x:row r="47">
      <x:c r="A47" s="106"/>
      <x:c r="B47" s="106"/>
      <x:c r="C47" s="106"/>
      <x:c r="D47" s="106"/>
      <x:c r="E47" s="106"/>
      <x:c r="F47" s="106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106"/>
      <x:c r="Q47" s="106"/>
      <x:c r="R47" s="106"/>
      <x:c r="S47" s="106"/>
      <x:c r="T47" s="106"/>
      <x:c r="U47" s="106"/>
      <x:c r="V47" s="106"/>
      <x:c r="W47" s="106"/>
      <x:c r="X47" s="106"/>
      <x:c r="Y47" s="106"/>
      <x:c r="Z47" s="106"/>
    </x:row>
    <x:row r="48">
      <x:c r="A48" s="106"/>
      <x:c r="B48" s="106"/>
      <x:c r="C48" s="106"/>
      <x:c r="D48" s="106"/>
      <x:c r="E48" s="106"/>
      <x:c r="F48" s="106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106"/>
      <x:c r="Q48" s="106"/>
      <x:c r="R48" s="106"/>
      <x:c r="S48" s="106"/>
      <x:c r="T48" s="106"/>
      <x:c r="U48" s="106"/>
      <x:c r="V48" s="106"/>
      <x:c r="W48" s="106"/>
      <x:c r="X48" s="106"/>
      <x:c r="Y48" s="106"/>
      <x:c r="Z48" s="106"/>
    </x:row>
    <x:row r="49">
      <x:c r="A49" s="106"/>
      <x:c r="B49" s="106"/>
      <x:c r="C49" s="106"/>
      <x:c r="D49" s="106"/>
      <x:c r="E49" s="106"/>
      <x:c r="F49" s="106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106"/>
      <x:c r="Q49" s="106"/>
      <x:c r="R49" s="106"/>
      <x:c r="S49" s="106"/>
      <x:c r="T49" s="106"/>
      <x:c r="U49" s="106"/>
      <x:c r="V49" s="106"/>
      <x:c r="W49" s="106"/>
      <x:c r="X49" s="106"/>
      <x:c r="Y49" s="106"/>
      <x:c r="Z49" s="106"/>
    </x:row>
    <x:row r="50">
      <x:c r="A50" s="106"/>
      <x:c r="B50" s="106"/>
      <x:c r="C50" s="106"/>
      <x:c r="D50" s="106"/>
      <x:c r="E50" s="106"/>
      <x:c r="F50" s="106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106"/>
      <x:c r="Q50" s="106"/>
      <x:c r="R50" s="106"/>
      <x:c r="S50" s="106"/>
      <x:c r="T50" s="106"/>
      <x:c r="U50" s="106"/>
      <x:c r="V50" s="106"/>
      <x:c r="W50" s="106"/>
      <x:c r="X50" s="106"/>
      <x:c r="Y50" s="106"/>
      <x:c r="Z50" s="106"/>
    </x:row>
    <x:row r="51">
      <x:c r="A51" s="106"/>
      <x:c r="B51" s="106"/>
      <x:c r="C51" s="106"/>
      <x:c r="D51" s="106"/>
      <x:c r="E51" s="106"/>
      <x:c r="F51" s="106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106"/>
      <x:c r="Q51" s="106"/>
      <x:c r="R51" s="106"/>
      <x:c r="S51" s="106"/>
      <x:c r="T51" s="106"/>
      <x:c r="U51" s="106"/>
      <x:c r="V51" s="106"/>
      <x:c r="W51" s="106"/>
      <x:c r="X51" s="106"/>
      <x:c r="Y51" s="106"/>
      <x:c r="Z51" s="106"/>
    </x:row>
    <x:row r="52">
      <x:c r="A52" s="106"/>
      <x:c r="B52" s="106"/>
      <x:c r="C52" s="106"/>
      <x:c r="D52" s="106"/>
      <x:c r="E52" s="106"/>
      <x:c r="F52" s="106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106"/>
      <x:c r="Q52" s="106"/>
      <x:c r="R52" s="106"/>
      <x:c r="S52" s="106"/>
      <x:c r="T52" s="106"/>
      <x:c r="U52" s="106"/>
      <x:c r="V52" s="106"/>
      <x:c r="W52" s="106"/>
      <x:c r="X52" s="106"/>
      <x:c r="Y52" s="106"/>
      <x:c r="Z52" s="106"/>
    </x:row>
    <x:row r="53">
      <x:c r="A53" s="106"/>
      <x:c r="B53" s="106"/>
      <x:c r="C53" s="106"/>
      <x:c r="D53" s="106"/>
      <x:c r="E53" s="106"/>
      <x:c r="F53" s="106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106"/>
      <x:c r="Q53" s="106"/>
      <x:c r="R53" s="106"/>
      <x:c r="S53" s="106"/>
      <x:c r="T53" s="106"/>
      <x:c r="U53" s="106"/>
      <x:c r="V53" s="106"/>
      <x:c r="W53" s="106"/>
      <x:c r="X53" s="106"/>
      <x:c r="Y53" s="106"/>
      <x:c r="Z53" s="106"/>
    </x:row>
    <x:row r="54">
      <x:c r="A54" s="106"/>
      <x:c r="B54" s="106"/>
      <x:c r="C54" s="106"/>
      <x:c r="D54" s="106"/>
      <x:c r="E54" s="106"/>
      <x:c r="F54" s="106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106"/>
      <x:c r="Q54" s="106"/>
      <x:c r="R54" s="106"/>
      <x:c r="S54" s="106"/>
      <x:c r="T54" s="106"/>
      <x:c r="U54" s="106"/>
      <x:c r="V54" s="106"/>
      <x:c r="W54" s="106"/>
      <x:c r="X54" s="106"/>
      <x:c r="Y54" s="106"/>
      <x:c r="Z54" s="106"/>
    </x:row>
    <x:row r="55">
      <x:c r="A55" s="106"/>
      <x:c r="B55" s="106"/>
      <x:c r="C55" s="106"/>
      <x:c r="D55" s="106"/>
      <x:c r="E55" s="106"/>
      <x:c r="F55" s="106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106"/>
      <x:c r="Q55" s="106"/>
      <x:c r="R55" s="106"/>
      <x:c r="S55" s="106"/>
      <x:c r="T55" s="106"/>
      <x:c r="U55" s="106"/>
      <x:c r="V55" s="106"/>
      <x:c r="W55" s="106"/>
      <x:c r="X55" s="106"/>
      <x:c r="Y55" s="106"/>
      <x:c r="Z55" s="106"/>
    </x:row>
    <x:row r="56">
      <x:c r="A56" s="106"/>
      <x:c r="B56" s="106"/>
      <x:c r="C56" s="106"/>
      <x:c r="D56" s="106"/>
      <x:c r="E56" s="106"/>
      <x:c r="F56" s="106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106"/>
      <x:c r="Q56" s="106"/>
      <x:c r="R56" s="106"/>
      <x:c r="S56" s="106"/>
      <x:c r="T56" s="106"/>
      <x:c r="U56" s="106"/>
      <x:c r="V56" s="106"/>
      <x:c r="W56" s="106"/>
      <x:c r="X56" s="106"/>
      <x:c r="Y56" s="106"/>
      <x:c r="Z56" s="106"/>
    </x:row>
    <x:row r="57">
      <x:c r="A57" s="106"/>
      <x:c r="B57" s="106"/>
      <x:c r="C57" s="106"/>
      <x:c r="D57" s="106"/>
      <x:c r="E57" s="106"/>
      <x:c r="F57" s="106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106"/>
      <x:c r="Q57" s="106"/>
      <x:c r="R57" s="106"/>
      <x:c r="S57" s="106"/>
      <x:c r="T57" s="106"/>
      <x:c r="U57" s="106"/>
      <x:c r="V57" s="106"/>
      <x:c r="W57" s="106"/>
      <x:c r="X57" s="106"/>
      <x:c r="Y57" s="106"/>
      <x:c r="Z57" s="106"/>
    </x:row>
    <x:row r="58">
      <x:c r="A58" s="106"/>
      <x:c r="B58" s="106"/>
      <x:c r="C58" s="106"/>
      <x:c r="D58" s="106"/>
      <x:c r="E58" s="106"/>
      <x:c r="F58" s="106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106"/>
      <x:c r="Q58" s="106"/>
      <x:c r="R58" s="106"/>
      <x:c r="S58" s="106"/>
      <x:c r="T58" s="106"/>
      <x:c r="U58" s="106"/>
      <x:c r="V58" s="106"/>
      <x:c r="W58" s="106"/>
      <x:c r="X58" s="106"/>
      <x:c r="Y58" s="106"/>
      <x:c r="Z58" s="106"/>
    </x:row>
    <x:row r="59">
      <x:c r="A59" s="106"/>
      <x:c r="B59" s="106"/>
      <x:c r="C59" s="106"/>
      <x:c r="D59" s="106"/>
      <x:c r="E59" s="106"/>
      <x:c r="F59" s="106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106"/>
      <x:c r="Q59" s="106"/>
      <x:c r="R59" s="106"/>
      <x:c r="S59" s="106"/>
      <x:c r="T59" s="106"/>
      <x:c r="U59" s="106"/>
      <x:c r="V59" s="106"/>
      <x:c r="W59" s="106"/>
      <x:c r="X59" s="106"/>
      <x:c r="Y59" s="106"/>
      <x:c r="Z59" s="106"/>
    </x:row>
    <x:row r="60">
      <x:c r="A60" s="106"/>
      <x:c r="B60" s="106"/>
      <x:c r="C60" s="106"/>
      <x:c r="D60" s="106"/>
      <x:c r="E60" s="106"/>
      <x:c r="F60" s="106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106"/>
      <x:c r="Q60" s="106"/>
      <x:c r="R60" s="106"/>
      <x:c r="S60" s="106"/>
      <x:c r="T60" s="106"/>
      <x:c r="U60" s="106"/>
      <x:c r="V60" s="106"/>
      <x:c r="W60" s="106"/>
      <x:c r="X60" s="106"/>
      <x:c r="Y60" s="106"/>
      <x:c r="Z60" s="106"/>
    </x:row>
    <x:row r="61">
      <x:c r="A61" s="106"/>
      <x:c r="B61" s="106"/>
      <x:c r="C61" s="106"/>
      <x:c r="D61" s="106"/>
      <x:c r="E61" s="106"/>
      <x:c r="F61" s="106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106"/>
      <x:c r="Q61" s="106"/>
      <x:c r="R61" s="106"/>
      <x:c r="S61" s="106"/>
      <x:c r="T61" s="106"/>
      <x:c r="U61" s="106"/>
      <x:c r="V61" s="106"/>
      <x:c r="W61" s="106"/>
      <x:c r="X61" s="106"/>
      <x:c r="Y61" s="106"/>
      <x:c r="Z61" s="106"/>
    </x:row>
    <x:row r="62">
      <x:c r="A62" s="106"/>
      <x:c r="B62" s="106"/>
      <x:c r="C62" s="106"/>
      <x:c r="D62" s="106"/>
      <x:c r="E62" s="106"/>
      <x:c r="F62" s="106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106"/>
      <x:c r="Q62" s="106"/>
      <x:c r="R62" s="106"/>
      <x:c r="S62" s="106"/>
      <x:c r="T62" s="106"/>
      <x:c r="U62" s="106"/>
      <x:c r="V62" s="106"/>
      <x:c r="W62" s="106"/>
      <x:c r="X62" s="106"/>
      <x:c r="Y62" s="106"/>
      <x:c r="Z62" s="106"/>
    </x:row>
    <x:row r="63">
      <x:c r="A63" s="106"/>
      <x:c r="B63" s="106"/>
      <x:c r="C63" s="106"/>
      <x:c r="D63" s="106"/>
      <x:c r="E63" s="106"/>
      <x:c r="F63" s="106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106"/>
      <x:c r="Q63" s="106"/>
      <x:c r="R63" s="106"/>
      <x:c r="S63" s="106"/>
      <x:c r="T63" s="106"/>
      <x:c r="U63" s="106"/>
      <x:c r="V63" s="106"/>
      <x:c r="W63" s="106"/>
      <x:c r="X63" s="106"/>
      <x:c r="Y63" s="106"/>
      <x:c r="Z63" s="106"/>
    </x:row>
    <x:row r="64">
      <x:c r="A64" s="106"/>
      <x:c r="B64" s="106"/>
      <x:c r="C64" s="106"/>
      <x:c r="D64" s="106"/>
      <x:c r="E64" s="106"/>
      <x:c r="F64" s="106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106"/>
      <x:c r="Q64" s="106"/>
      <x:c r="R64" s="106"/>
      <x:c r="S64" s="106"/>
      <x:c r="T64" s="106"/>
      <x:c r="U64" s="106"/>
      <x:c r="V64" s="106"/>
      <x:c r="W64" s="106"/>
      <x:c r="X64" s="106"/>
      <x:c r="Y64" s="106"/>
      <x:c r="Z64" s="106"/>
    </x:row>
    <x:row r="65">
      <x:c r="A65" s="106"/>
      <x:c r="B65" s="106"/>
      <x:c r="C65" s="106"/>
      <x:c r="D65" s="106"/>
      <x:c r="E65" s="106"/>
      <x:c r="F65" s="106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106"/>
      <x:c r="Q65" s="106"/>
      <x:c r="R65" s="106"/>
      <x:c r="S65" s="106"/>
      <x:c r="T65" s="106"/>
      <x:c r="U65" s="106"/>
      <x:c r="V65" s="106"/>
      <x:c r="W65" s="106"/>
      <x:c r="X65" s="106"/>
      <x:c r="Y65" s="106"/>
      <x:c r="Z65" s="106"/>
    </x:row>
    <x:row r="66">
      <x:c r="A66" s="106"/>
      <x:c r="B66" s="106"/>
      <x:c r="C66" s="106"/>
      <x:c r="D66" s="106"/>
      <x:c r="E66" s="106"/>
      <x:c r="F66" s="106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106"/>
      <x:c r="Q66" s="106"/>
      <x:c r="R66" s="106"/>
      <x:c r="S66" s="106"/>
      <x:c r="T66" s="106"/>
      <x:c r="U66" s="106"/>
      <x:c r="V66" s="106"/>
      <x:c r="W66" s="106"/>
      <x:c r="X66" s="106"/>
      <x:c r="Y66" s="106"/>
      <x:c r="Z66" s="106"/>
    </x:row>
    <x:row r="67">
      <x:c r="A67" s="106"/>
      <x:c r="B67" s="106"/>
      <x:c r="C67" s="106"/>
      <x:c r="D67" s="106"/>
      <x:c r="E67" s="106"/>
      <x:c r="F67" s="106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106"/>
      <x:c r="Q67" s="106"/>
      <x:c r="R67" s="106"/>
      <x:c r="S67" s="106"/>
      <x:c r="T67" s="106"/>
      <x:c r="U67" s="106"/>
      <x:c r="V67" s="106"/>
      <x:c r="W67" s="106"/>
      <x:c r="X67" s="106"/>
      <x:c r="Y67" s="106"/>
      <x:c r="Z67" s="106"/>
    </x:row>
    <x:row r="68">
      <x:c r="A68" s="106"/>
      <x:c r="B68" s="106"/>
      <x:c r="C68" s="106"/>
      <x:c r="D68" s="106"/>
      <x:c r="E68" s="106"/>
      <x:c r="F68" s="106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106"/>
      <x:c r="Q68" s="106"/>
      <x:c r="R68" s="106"/>
      <x:c r="S68" s="106"/>
      <x:c r="T68" s="106"/>
      <x:c r="U68" s="106"/>
      <x:c r="V68" s="106"/>
      <x:c r="W68" s="106"/>
      <x:c r="X68" s="106"/>
      <x:c r="Y68" s="106"/>
      <x:c r="Z68" s="106"/>
    </x:row>
    <x:row r="69">
      <x:c r="A69" s="106"/>
      <x:c r="B69" s="106"/>
      <x:c r="C69" s="106"/>
      <x:c r="D69" s="106"/>
      <x:c r="E69" s="106"/>
      <x:c r="F69" s="106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106"/>
      <x:c r="Q69" s="106"/>
      <x:c r="R69" s="106"/>
      <x:c r="S69" s="106"/>
      <x:c r="T69" s="106"/>
      <x:c r="U69" s="106"/>
      <x:c r="V69" s="106"/>
      <x:c r="W69" s="106"/>
      <x:c r="X69" s="106"/>
      <x:c r="Y69" s="106"/>
      <x:c r="Z69" s="106"/>
    </x:row>
    <x:row r="70">
      <x:c r="A70" s="106"/>
      <x:c r="B70" s="106"/>
      <x:c r="C70" s="106"/>
      <x:c r="D70" s="106"/>
      <x:c r="E70" s="106"/>
      <x:c r="F70" s="106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106"/>
      <x:c r="Q70" s="106"/>
      <x:c r="R70" s="106"/>
      <x:c r="S70" s="106"/>
      <x:c r="T70" s="106"/>
      <x:c r="U70" s="106"/>
      <x:c r="V70" s="106"/>
      <x:c r="W70" s="106"/>
      <x:c r="X70" s="106"/>
      <x:c r="Y70" s="106"/>
      <x:c r="Z70" s="106"/>
    </x:row>
    <x:row r="71">
      <x:c r="A71" s="106"/>
      <x:c r="B71" s="106"/>
      <x:c r="C71" s="106"/>
      <x:c r="D71" s="106"/>
      <x:c r="E71" s="106"/>
      <x:c r="F71" s="106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106"/>
      <x:c r="Q71" s="106"/>
      <x:c r="R71" s="106"/>
      <x:c r="S71" s="106"/>
      <x:c r="T71" s="106"/>
      <x:c r="U71" s="106"/>
      <x:c r="V71" s="106"/>
      <x:c r="W71" s="106"/>
      <x:c r="X71" s="106"/>
      <x:c r="Y71" s="106"/>
      <x:c r="Z71" s="106"/>
    </x:row>
    <x:row r="72">
      <x:c r="A72" s="106"/>
      <x:c r="B72" s="106"/>
      <x:c r="C72" s="106"/>
      <x:c r="D72" s="106"/>
      <x:c r="E72" s="106"/>
      <x:c r="F72" s="106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106"/>
      <x:c r="Q72" s="106"/>
      <x:c r="R72" s="106"/>
      <x:c r="S72" s="106"/>
      <x:c r="T72" s="106"/>
      <x:c r="U72" s="106"/>
      <x:c r="V72" s="106"/>
      <x:c r="W72" s="106"/>
      <x:c r="X72" s="106"/>
      <x:c r="Y72" s="106"/>
      <x:c r="Z72" s="106"/>
    </x:row>
    <x:row r="73">
      <x:c r="A73" s="106"/>
      <x:c r="B73" s="106"/>
      <x:c r="C73" s="106"/>
      <x:c r="D73" s="106"/>
      <x:c r="E73" s="106"/>
      <x:c r="F73" s="106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106"/>
      <x:c r="Q73" s="106"/>
      <x:c r="R73" s="106"/>
      <x:c r="S73" s="106"/>
      <x:c r="T73" s="106"/>
      <x:c r="U73" s="106"/>
      <x:c r="V73" s="106"/>
      <x:c r="W73" s="106"/>
      <x:c r="X73" s="106"/>
      <x:c r="Y73" s="106"/>
      <x:c r="Z73" s="106"/>
    </x:row>
    <x:row r="74">
      <x:c r="A74" s="106"/>
      <x:c r="B74" s="106"/>
      <x:c r="C74" s="106"/>
      <x:c r="D74" s="106"/>
      <x:c r="E74" s="106"/>
      <x:c r="F74" s="106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106"/>
      <x:c r="Q74" s="106"/>
      <x:c r="R74" s="106"/>
      <x:c r="S74" s="106"/>
      <x:c r="T74" s="106"/>
      <x:c r="U74" s="106"/>
      <x:c r="V74" s="106"/>
      <x:c r="W74" s="106"/>
      <x:c r="X74" s="106"/>
      <x:c r="Y74" s="106"/>
      <x:c r="Z74" s="106"/>
    </x:row>
    <x:row r="75">
      <x:c r="A75" s="106"/>
      <x:c r="B75" s="106"/>
      <x:c r="C75" s="106"/>
      <x:c r="D75" s="106"/>
      <x:c r="E75" s="106"/>
      <x:c r="F75" s="106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106"/>
      <x:c r="Q75" s="106"/>
      <x:c r="R75" s="106"/>
      <x:c r="S75" s="106"/>
      <x:c r="T75" s="106"/>
      <x:c r="U75" s="106"/>
      <x:c r="V75" s="106"/>
      <x:c r="W75" s="106"/>
      <x:c r="X75" s="106"/>
      <x:c r="Y75" s="106"/>
      <x:c r="Z75" s="106"/>
    </x:row>
    <x:row r="76">
      <x:c r="A76" s="106"/>
      <x:c r="B76" s="106"/>
      <x:c r="C76" s="106"/>
      <x:c r="D76" s="106"/>
      <x:c r="E76" s="106"/>
      <x:c r="F76" s="106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106"/>
      <x:c r="Q76" s="106"/>
      <x:c r="R76" s="106"/>
      <x:c r="S76" s="106"/>
      <x:c r="T76" s="106"/>
      <x:c r="U76" s="106"/>
      <x:c r="V76" s="106"/>
      <x:c r="W76" s="106"/>
      <x:c r="X76" s="106"/>
      <x:c r="Y76" s="106"/>
      <x:c r="Z76" s="106"/>
    </x:row>
    <x:row r="77">
      <x:c r="A77" s="106"/>
      <x:c r="B77" s="106"/>
      <x:c r="C77" s="106"/>
      <x:c r="D77" s="106"/>
      <x:c r="E77" s="106"/>
      <x:c r="F77" s="106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106"/>
      <x:c r="Q77" s="106"/>
      <x:c r="R77" s="106"/>
      <x:c r="S77" s="106"/>
      <x:c r="T77" s="106"/>
      <x:c r="U77" s="106"/>
      <x:c r="V77" s="106"/>
      <x:c r="W77" s="106"/>
      <x:c r="X77" s="106"/>
      <x:c r="Y77" s="106"/>
      <x:c r="Z77" s="106"/>
    </x:row>
    <x:row r="78">
      <x:c r="A78" s="106"/>
      <x:c r="B78" s="106"/>
      <x:c r="C78" s="106"/>
      <x:c r="D78" s="106"/>
      <x:c r="E78" s="106"/>
      <x:c r="F78" s="106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106"/>
      <x:c r="Q78" s="106"/>
      <x:c r="R78" s="106"/>
      <x:c r="S78" s="106"/>
      <x:c r="T78" s="106"/>
      <x:c r="U78" s="106"/>
      <x:c r="V78" s="106"/>
      <x:c r="W78" s="106"/>
      <x:c r="X78" s="106"/>
      <x:c r="Y78" s="106"/>
      <x:c r="Z78" s="106"/>
    </x:row>
    <x:row r="79">
      <x:c r="A79" s="106"/>
      <x:c r="B79" s="106"/>
      <x:c r="C79" s="106"/>
      <x:c r="D79" s="106"/>
      <x:c r="E79" s="106"/>
      <x:c r="F79" s="106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106"/>
      <x:c r="Q79" s="106"/>
      <x:c r="R79" s="106"/>
      <x:c r="S79" s="106"/>
      <x:c r="T79" s="106"/>
      <x:c r="U79" s="106"/>
      <x:c r="V79" s="106"/>
      <x:c r="W79" s="106"/>
      <x:c r="X79" s="106"/>
      <x:c r="Y79" s="106"/>
      <x:c r="Z79" s="106"/>
    </x:row>
    <x:row r="80">
      <x:c r="A80" s="106"/>
      <x:c r="B80" s="106"/>
      <x:c r="C80" s="106"/>
      <x:c r="D80" s="106"/>
      <x:c r="E80" s="106"/>
      <x:c r="F80" s="106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106"/>
      <x:c r="Q80" s="106"/>
      <x:c r="R80" s="106"/>
      <x:c r="S80" s="106"/>
      <x:c r="T80" s="106"/>
      <x:c r="U80" s="106"/>
      <x:c r="V80" s="106"/>
      <x:c r="W80" s="106"/>
      <x:c r="X80" s="106"/>
      <x:c r="Y80" s="106"/>
      <x:c r="Z80" s="106"/>
    </x:row>
    <x:row r="81">
      <x:c r="A81" s="106"/>
      <x:c r="B81" s="106"/>
      <x:c r="C81" s="106"/>
      <x:c r="D81" s="106"/>
      <x:c r="E81" s="106"/>
      <x:c r="F81" s="106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106"/>
      <x:c r="Q81" s="106"/>
      <x:c r="R81" s="106"/>
      <x:c r="S81" s="106"/>
      <x:c r="T81" s="106"/>
      <x:c r="U81" s="106"/>
      <x:c r="V81" s="106"/>
      <x:c r="W81" s="106"/>
      <x:c r="X81" s="106"/>
      <x:c r="Y81" s="106"/>
      <x:c r="Z81" s="106"/>
    </x:row>
    <x:row r="82">
      <x:c r="A82" s="106"/>
      <x:c r="B82" s="106"/>
      <x:c r="C82" s="106"/>
      <x:c r="D82" s="106"/>
      <x:c r="E82" s="106"/>
      <x:c r="F82" s="106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106"/>
      <x:c r="Q82" s="106"/>
      <x:c r="R82" s="106"/>
      <x:c r="S82" s="106"/>
      <x:c r="T82" s="106"/>
      <x:c r="U82" s="106"/>
      <x:c r="V82" s="106"/>
      <x:c r="W82" s="106"/>
      <x:c r="X82" s="106"/>
      <x:c r="Y82" s="106"/>
      <x:c r="Z82" s="106"/>
    </x:row>
    <x:row r="83">
      <x:c r="A83" s="106"/>
      <x:c r="B83" s="106"/>
      <x:c r="C83" s="106"/>
      <x:c r="D83" s="106"/>
      <x:c r="E83" s="106"/>
      <x:c r="F83" s="106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106"/>
      <x:c r="Q83" s="106"/>
      <x:c r="R83" s="106"/>
      <x:c r="S83" s="106"/>
      <x:c r="T83" s="106"/>
      <x:c r="U83" s="106"/>
      <x:c r="V83" s="106"/>
      <x:c r="W83" s="106"/>
      <x:c r="X83" s="106"/>
      <x:c r="Y83" s="106"/>
      <x:c r="Z83" s="106"/>
    </x:row>
    <x:row r="84">
      <x:c r="A84" s="106"/>
      <x:c r="B84" s="106"/>
      <x:c r="C84" s="106"/>
      <x:c r="D84" s="106"/>
      <x:c r="E84" s="106"/>
      <x:c r="F84" s="106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106"/>
      <x:c r="Q84" s="106"/>
      <x:c r="R84" s="106"/>
      <x:c r="S84" s="106"/>
      <x:c r="T84" s="106"/>
      <x:c r="U84" s="106"/>
      <x:c r="V84" s="106"/>
      <x:c r="W84" s="106"/>
      <x:c r="X84" s="106"/>
      <x:c r="Y84" s="106"/>
      <x:c r="Z84" s="106"/>
    </x:row>
    <x:row r="85">
      <x:c r="A85" s="106"/>
      <x:c r="B85" s="106"/>
      <x:c r="C85" s="106"/>
      <x:c r="D85" s="106"/>
      <x:c r="E85" s="106"/>
      <x:c r="F85" s="106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106"/>
      <x:c r="Q85" s="106"/>
      <x:c r="R85" s="106"/>
      <x:c r="S85" s="106"/>
      <x:c r="T85" s="106"/>
      <x:c r="U85" s="106"/>
      <x:c r="V85" s="106"/>
      <x:c r="W85" s="106"/>
      <x:c r="X85" s="106"/>
      <x:c r="Y85" s="106"/>
      <x:c r="Z85" s="106"/>
    </x:row>
    <x:row r="86">
      <x:c r="A86" s="106"/>
      <x:c r="B86" s="106"/>
      <x:c r="C86" s="106"/>
      <x:c r="D86" s="106"/>
      <x:c r="E86" s="106"/>
      <x:c r="F86" s="106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106"/>
      <x:c r="Q86" s="106"/>
      <x:c r="R86" s="106"/>
      <x:c r="S86" s="106"/>
      <x:c r="T86" s="106"/>
      <x:c r="U86" s="106"/>
      <x:c r="V86" s="106"/>
      <x:c r="W86" s="106"/>
      <x:c r="X86" s="106"/>
      <x:c r="Y86" s="106"/>
      <x:c r="Z86" s="106"/>
    </x:row>
    <x:row r="87">
      <x:c r="A87" s="106"/>
      <x:c r="B87" s="106"/>
      <x:c r="C87" s="106"/>
      <x:c r="D87" s="106"/>
      <x:c r="E87" s="106"/>
      <x:c r="F87" s="106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106"/>
      <x:c r="Q87" s="106"/>
      <x:c r="R87" s="106"/>
      <x:c r="S87" s="106"/>
      <x:c r="T87" s="106"/>
      <x:c r="U87" s="106"/>
      <x:c r="V87" s="106"/>
      <x:c r="W87" s="106"/>
      <x:c r="X87" s="106"/>
      <x:c r="Y87" s="106"/>
      <x:c r="Z87" s="106"/>
    </x:row>
    <x:row r="88">
      <x:c r="A88" s="106"/>
      <x:c r="B88" s="106"/>
      <x:c r="C88" s="106"/>
      <x:c r="D88" s="106"/>
      <x:c r="E88" s="106"/>
      <x:c r="F88" s="106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106"/>
      <x:c r="Q88" s="106"/>
      <x:c r="R88" s="106"/>
      <x:c r="S88" s="106"/>
      <x:c r="T88" s="106"/>
      <x:c r="U88" s="106"/>
      <x:c r="V88" s="106"/>
      <x:c r="W88" s="106"/>
      <x:c r="X88" s="106"/>
      <x:c r="Y88" s="106"/>
      <x:c r="Z88" s="106"/>
    </x:row>
    <x:row r="89">
      <x:c r="A89" s="106"/>
      <x:c r="B89" s="106"/>
      <x:c r="C89" s="106"/>
      <x:c r="D89" s="106"/>
      <x:c r="E89" s="106"/>
      <x:c r="F89" s="106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106"/>
      <x:c r="Q89" s="106"/>
      <x:c r="R89" s="106"/>
      <x:c r="S89" s="106"/>
      <x:c r="T89" s="106"/>
      <x:c r="U89" s="106"/>
      <x:c r="V89" s="106"/>
      <x:c r="W89" s="106"/>
      <x:c r="X89" s="106"/>
      <x:c r="Y89" s="106"/>
      <x:c r="Z89" s="106"/>
    </x:row>
    <x:row r="90">
      <x:c r="A90" s="106"/>
      <x:c r="B90" s="106"/>
      <x:c r="C90" s="106"/>
      <x:c r="D90" s="106"/>
      <x:c r="E90" s="106"/>
      <x:c r="F90" s="106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106"/>
      <x:c r="Q90" s="106"/>
      <x:c r="R90" s="106"/>
      <x:c r="S90" s="106"/>
      <x:c r="T90" s="106"/>
      <x:c r="U90" s="106"/>
      <x:c r="V90" s="106"/>
      <x:c r="W90" s="106"/>
      <x:c r="X90" s="106"/>
      <x:c r="Y90" s="106"/>
      <x:c r="Z90" s="106"/>
    </x:row>
    <x:row r="91">
      <x:c r="A91" s="106"/>
      <x:c r="B91" s="106"/>
      <x:c r="C91" s="106"/>
      <x:c r="D91" s="106"/>
      <x:c r="E91" s="106"/>
      <x:c r="F91" s="106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106"/>
      <x:c r="Q91" s="106"/>
      <x:c r="R91" s="106"/>
      <x:c r="S91" s="106"/>
      <x:c r="T91" s="106"/>
      <x:c r="U91" s="106"/>
      <x:c r="V91" s="106"/>
      <x:c r="W91" s="106"/>
      <x:c r="X91" s="106"/>
      <x:c r="Y91" s="106"/>
      <x:c r="Z91" s="106"/>
    </x:row>
    <x:row r="92">
      <x:c r="A92" s="106"/>
      <x:c r="B92" s="106"/>
      <x:c r="C92" s="106"/>
      <x:c r="D92" s="106"/>
      <x:c r="E92" s="106"/>
      <x:c r="F92" s="106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106"/>
      <x:c r="Q92" s="106"/>
      <x:c r="R92" s="106"/>
      <x:c r="S92" s="106"/>
      <x:c r="T92" s="106"/>
      <x:c r="U92" s="106"/>
      <x:c r="V92" s="106"/>
      <x:c r="W92" s="106"/>
      <x:c r="X92" s="106"/>
      <x:c r="Y92" s="106"/>
      <x:c r="Z92" s="106"/>
    </x:row>
    <x:row r="93">
      <x:c r="A93" s="106"/>
      <x:c r="B93" s="106"/>
      <x:c r="C93" s="106"/>
      <x:c r="D93" s="106"/>
      <x:c r="E93" s="106"/>
      <x:c r="F93" s="106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106"/>
      <x:c r="Q93" s="106"/>
      <x:c r="R93" s="106"/>
      <x:c r="S93" s="106"/>
      <x:c r="T93" s="106"/>
      <x:c r="U93" s="106"/>
      <x:c r="V93" s="106"/>
      <x:c r="W93" s="106"/>
      <x:c r="X93" s="106"/>
      <x:c r="Y93" s="106"/>
      <x:c r="Z93" s="106"/>
    </x:row>
    <x:row r="94">
      <x:c r="A94" s="106"/>
      <x:c r="B94" s="106"/>
      <x:c r="C94" s="106"/>
      <x:c r="D94" s="106"/>
      <x:c r="E94" s="106"/>
      <x:c r="F94" s="106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106"/>
      <x:c r="Q94" s="106"/>
      <x:c r="R94" s="106"/>
      <x:c r="S94" s="106"/>
      <x:c r="T94" s="106"/>
      <x:c r="U94" s="106"/>
      <x:c r="V94" s="106"/>
      <x:c r="W94" s="106"/>
      <x:c r="X94" s="106"/>
      <x:c r="Y94" s="106"/>
      <x:c r="Z94" s="106"/>
    </x:row>
    <x:row r="95">
      <x:c r="A95" s="106"/>
      <x:c r="B95" s="106"/>
      <x:c r="C95" s="106"/>
      <x:c r="D95" s="106"/>
      <x:c r="E95" s="106"/>
      <x:c r="F95" s="106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106"/>
      <x:c r="Q95" s="106"/>
      <x:c r="R95" s="106"/>
      <x:c r="S95" s="106"/>
      <x:c r="T95" s="106"/>
      <x:c r="U95" s="106"/>
      <x:c r="V95" s="106"/>
      <x:c r="W95" s="106"/>
      <x:c r="X95" s="106"/>
      <x:c r="Y95" s="106"/>
      <x:c r="Z95" s="106"/>
    </x:row>
    <x:row r="96">
      <x:c r="A96" s="106"/>
      <x:c r="B96" s="106"/>
      <x:c r="C96" s="106"/>
      <x:c r="D96" s="106"/>
      <x:c r="E96" s="106"/>
      <x:c r="F96" s="106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106"/>
      <x:c r="Q96" s="106"/>
      <x:c r="R96" s="106"/>
      <x:c r="S96" s="106"/>
      <x:c r="T96" s="106"/>
      <x:c r="U96" s="106"/>
      <x:c r="V96" s="106"/>
      <x:c r="W96" s="106"/>
      <x:c r="X96" s="106"/>
      <x:c r="Y96" s="106"/>
      <x:c r="Z96" s="106"/>
    </x:row>
    <x:row r="97">
      <x:c r="A97" s="106"/>
      <x:c r="B97" s="106"/>
      <x:c r="C97" s="106"/>
      <x:c r="D97" s="106"/>
      <x:c r="E97" s="106"/>
      <x:c r="F97" s="106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106"/>
      <x:c r="Q97" s="106"/>
      <x:c r="R97" s="106"/>
      <x:c r="S97" s="106"/>
      <x:c r="T97" s="106"/>
      <x:c r="U97" s="106"/>
      <x:c r="V97" s="106"/>
      <x:c r="W97" s="106"/>
      <x:c r="X97" s="106"/>
      <x:c r="Y97" s="106"/>
      <x:c r="Z97" s="106"/>
    </x:row>
    <x:row r="98">
      <x:c r="A98" s="106"/>
      <x:c r="B98" s="106"/>
      <x:c r="C98" s="106"/>
      <x:c r="D98" s="106"/>
      <x:c r="E98" s="106"/>
      <x:c r="F98" s="106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106"/>
      <x:c r="Q98" s="106"/>
      <x:c r="R98" s="106"/>
      <x:c r="S98" s="106"/>
      <x:c r="T98" s="106"/>
      <x:c r="U98" s="106"/>
      <x:c r="V98" s="106"/>
      <x:c r="W98" s="106"/>
      <x:c r="X98" s="106"/>
      <x:c r="Y98" s="106"/>
      <x:c r="Z98" s="106"/>
    </x:row>
    <x:row r="99">
      <x:c r="A99" s="106"/>
      <x:c r="B99" s="106"/>
      <x:c r="C99" s="106"/>
      <x:c r="D99" s="106"/>
      <x:c r="E99" s="106"/>
      <x:c r="F99" s="106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106"/>
      <x:c r="Q99" s="106"/>
      <x:c r="R99" s="106"/>
      <x:c r="S99" s="106"/>
      <x:c r="T99" s="106"/>
      <x:c r="U99" s="106"/>
      <x:c r="V99" s="106"/>
      <x:c r="W99" s="106"/>
      <x:c r="X99" s="106"/>
      <x:c r="Y99" s="106"/>
      <x:c r="Z99" s="106"/>
    </x:row>
    <x:row r="100">
      <x:c r="A100" s="106"/>
      <x:c r="B100" s="106"/>
      <x:c r="C100" s="106"/>
      <x:c r="D100" s="106"/>
      <x:c r="E100" s="106"/>
      <x:c r="F100" s="106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106"/>
      <x:c r="Q100" s="106"/>
      <x:c r="R100" s="106"/>
      <x:c r="S100" s="106"/>
      <x:c r="T100" s="106"/>
      <x:c r="U100" s="106"/>
      <x:c r="V100" s="106"/>
      <x:c r="W100" s="106"/>
      <x:c r="X100" s="106"/>
      <x:c r="Y100" s="106"/>
      <x:c r="Z100" s="106"/>
    </x:row>
  </x:sheetData>
  <x:mergeCells>
    <x:mergeCell ref="A1:F1"/>
    <x:mergeCell ref="A2:F2"/>
  </x:mergeCells>
  <x:conditionalFormatting sqref="C16:E17">
    <x:cfRule type="expression" dxfId="3" priority="1">
      <x:formula>C16="FAIL"</x:formula>
    </x:cfRule>
    <x:cfRule type="expression" dxfId="4" priority="2">
      <x:formula>C17="Preferred"</x:formula>
    </x:cfRule>
  </x:conditionalFormatting>
  <x:pageMargins left="0.7" right="0.7" top="0.75" bottom="0.75" header="0.3" footer="0.3"/>
  <x:drawing xmlns:r="http://schemas.openxmlformats.org/officeDocument/2006/relationships" r:id="R49c6e42b187f4505"/>
</x:worksheet>
</file>

<file path=xl/worksheets/sheet8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20" hidden="0" customWidth="1"/>
    <x:col min="5" max="5" width="18" hidden="0" customWidth="1"/>
    <x:col min="6" max="6" width="24" hidden="0" customWidth="1"/>
    <x:col min="7" max="7" width="14" hidden="0" customWidth="1"/>
    <x:col min="8" max="8" width="24" hidden="0" customWidth="1"/>
    <x:col min="9" max="9" width="34" hidden="0" customWidth="1"/>
    <x:col min="10" max="10" width="20" hidden="0" customWidth="1"/>
  </x:cols>
  <x:sheetData>
    <x:row r="1" ht="30" customHeight="1">
      <x:c r="A1" s="117" t="str">
        <x:v>07. Benefits Governance &amp; Measurement Plan</x:v>
      </x:c>
      <x:c r="B1" s="117"/>
      <x:c r="C1" s="117"/>
      <x:c r="D1" s="117"/>
      <x:c r="E1" s="117"/>
      <x:c r="F1" s="117"/>
      <x:c r="G1" s="117"/>
      <x:c r="H1" s="117"/>
      <x:c r="I1" s="117"/>
      <x:c r="J1" s="117"/>
      <x:c r="K1" s="106"/>
      <x:c r="L1" s="106"/>
      <x:c r="M1" s="106"/>
      <x:c r="N1" s="106"/>
      <x:c r="O1" s="106"/>
      <x:c r="P1" s="106"/>
      <x:c r="Q1" s="106"/>
      <x:c r="R1" s="106"/>
      <x:c r="S1" s="106"/>
      <x:c r="T1" s="106"/>
      <x:c r="U1" s="106"/>
      <x:c r="V1" s="106"/>
      <x:c r="W1" s="106"/>
      <x:c r="X1" s="106"/>
      <x:c r="Y1" s="106"/>
      <x:c r="Z1" s="106"/>
    </x:row>
    <x:row r="2" ht="28" customHeight="1">
      <x:c r="A2" s="107" t="str">
        <x:v>Illustrative control design for a staged pilot. Owner labels are roles, not named individuals.</x:v>
      </x:c>
      <x:c r="B2" s="107"/>
      <x:c r="C2" s="107"/>
      <x:c r="D2" s="107"/>
      <x:c r="E2" s="107"/>
      <x:c r="F2" s="107"/>
      <x:c r="G2" s="107"/>
      <x:c r="H2" s="107"/>
      <x:c r="I2" s="107"/>
      <x:c r="J2" s="107"/>
      <x:c r="K2" s="106"/>
      <x:c r="L2" s="106"/>
      <x:c r="M2" s="106"/>
      <x:c r="N2" s="106"/>
      <x:c r="O2" s="106"/>
      <x:c r="P2" s="106"/>
      <x:c r="Q2" s="106"/>
      <x:c r="R2" s="106"/>
      <x:c r="S2" s="106"/>
      <x:c r="T2" s="106"/>
      <x:c r="U2" s="106"/>
      <x:c r="V2" s="106"/>
      <x:c r="W2" s="106"/>
      <x:c r="X2" s="106"/>
      <x:c r="Y2" s="106"/>
      <x:c r="Z2" s="106"/>
    </x:row>
    <x:row r="3">
      <x:c r="A3" s="106"/>
      <x:c r="B3" s="106"/>
      <x:c r="C3" s="106"/>
      <x:c r="D3" s="106"/>
      <x:c r="E3" s="106"/>
      <x:c r="F3" s="106"/>
      <x:c r="G3" s="106"/>
      <x:c r="H3" s="106"/>
      <x:c r="I3" s="106"/>
      <x:c r="J3" s="106"/>
      <x:c r="K3" s="106"/>
      <x:c r="L3" s="106"/>
      <x:c r="M3" s="106"/>
      <x:c r="N3" s="106"/>
      <x:c r="O3" s="106"/>
      <x:c r="P3" s="106"/>
      <x:c r="Q3" s="106"/>
      <x:c r="R3" s="106"/>
      <x:c r="S3" s="106"/>
      <x:c r="T3" s="106"/>
      <x:c r="U3" s="106"/>
      <x:c r="V3" s="106"/>
      <x:c r="W3" s="106"/>
      <x:c r="X3" s="106"/>
      <x:c r="Y3" s="106"/>
      <x:c r="Z3" s="106"/>
    </x:row>
    <x:row r="4">
      <x:c r="A4" s="110" t="str">
        <x:v>Benefit / control</x:v>
      </x:c>
      <x:c r="B4" s="110" t="str">
        <x:v>Baseline</x:v>
      </x:c>
      <x:c r="C4" s="110" t="str">
        <x:v>Target</x:v>
      </x:c>
      <x:c r="D4" s="110" t="str">
        <x:v>Owner role</x:v>
      </x:c>
      <x:c r="E4" s="110" t="str">
        <x:v>Measure</x:v>
      </x:c>
      <x:c r="F4" s="110" t="str">
        <x:v>Source / method</x:v>
      </x:c>
      <x:c r="G4" s="110" t="str">
        <x:v>Cadence</x:v>
      </x:c>
      <x:c r="H4" s="110" t="str">
        <x:v>Guardrail</x:v>
      </x:c>
      <x:c r="I4" s="110" t="str">
        <x:v>Attribution rule</x:v>
      </x:c>
      <x:c r="J4" s="110" t="str">
        <x:v>Status</x:v>
      </x:c>
      <x:c r="K4" s="106"/>
      <x:c r="L4" s="106"/>
      <x:c r="M4" s="106"/>
      <x:c r="N4" s="106"/>
      <x:c r="O4" s="106"/>
      <x:c r="P4" s="106"/>
      <x:c r="Q4" s="106"/>
      <x:c r="R4" s="106"/>
      <x:c r="S4" s="106"/>
      <x:c r="T4" s="106"/>
      <x:c r="U4" s="106"/>
      <x:c r="V4" s="106"/>
      <x:c r="W4" s="106"/>
      <x:c r="X4" s="106"/>
      <x:c r="Y4" s="106"/>
      <x:c r="Z4" s="106"/>
    </x:row>
    <x:row r="5">
      <x:c r="A5" s="106" t="str">
        <x:v>Agency hours reduction</x:v>
      </x:c>
      <x:c r="B5" s="118" t="n">
        <x:v>15200</x:v>
      </x:c>
      <x:c r="C5" s="118" t="n">
        <x:v>12500</x:v>
      </x:c>
      <x:c r="D5" s="106" t="str">
        <x:v>Workforce / Operations</x:v>
      </x:c>
      <x:c r="E5" s="106" t="str">
        <x:v>hours per month</x:v>
      </x:c>
      <x:c r="F5" s="106" t="str">
        <x:v>Roster + agency invoice</x:v>
      </x:c>
      <x:c r="G5" s="106" t="str">
        <x:v>Weekly</x:v>
      </x:c>
      <x:c r="H5" s="106" t="str">
        <x:v>Guest satisfaction &gt;= 88</x:v>
      </x:c>
      <x:c r="I5" s="106" t="str">
        <x:v>Only in-scope departments; exclude vacancy backfill</x:v>
      </x:c>
      <x:c r="J5" s="106" t="str">
        <x:v>Not started</x:v>
      </x:c>
      <x:c r="K5" s="106"/>
      <x:c r="L5" s="106"/>
      <x:c r="M5" s="106"/>
      <x:c r="N5" s="106"/>
      <x:c r="O5" s="106"/>
      <x:c r="P5" s="106"/>
      <x:c r="Q5" s="106"/>
      <x:c r="R5" s="106"/>
      <x:c r="S5" s="106"/>
      <x:c r="T5" s="106"/>
      <x:c r="U5" s="106"/>
      <x:c r="V5" s="106"/>
      <x:c r="W5" s="106"/>
      <x:c r="X5" s="106"/>
      <x:c r="Y5" s="106"/>
      <x:c r="Z5" s="106"/>
    </x:row>
    <x:row r="6">
      <x:c r="A6" s="106" t="str">
        <x:v>Overtime hours reduction</x:v>
      </x:c>
      <x:c r="B6" s="118" t="n">
        <x:v>3400</x:v>
      </x:c>
      <x:c r="C6" s="118" t="n">
        <x:v>2950</x:v>
      </x:c>
      <x:c r="D6" s="106" t="str">
        <x:v>Operations</x:v>
      </x:c>
      <x:c r="E6" s="106" t="str">
        <x:v>hours per month</x:v>
      </x:c>
      <x:c r="F6" s="106" t="str">
        <x:v>Payroll / roster</x:v>
      </x:c>
      <x:c r="G6" s="106" t="str">
        <x:v>Weekly</x:v>
      </x:c>
      <x:c r="H6" s="106" t="str">
        <x:v>Guest satisfaction &gt;= 88</x:v>
      </x:c>
      <x:c r="I6" s="106" t="str">
        <x:v>Separate seasonal/events effects</x:v>
      </x:c>
      <x:c r="J6" s="106" t="str">
        <x:v>Not started</x:v>
      </x:c>
      <x:c r="K6" s="106"/>
      <x:c r="L6" s="106"/>
      <x:c r="M6" s="106"/>
      <x:c r="N6" s="106"/>
      <x:c r="O6" s="106"/>
      <x:c r="P6" s="106"/>
      <x:c r="Q6" s="106"/>
      <x:c r="R6" s="106"/>
      <x:c r="S6" s="106"/>
      <x:c r="T6" s="106"/>
      <x:c r="U6" s="106"/>
      <x:c r="V6" s="106"/>
      <x:c r="W6" s="106"/>
      <x:c r="X6" s="106"/>
      <x:c r="Y6" s="106"/>
      <x:c r="Z6" s="106"/>
    </x:row>
    <x:row r="7">
      <x:c r="A7" s="106" t="str">
        <x:v>F&amp;B cost % improvement</x:v>
      </x:c>
      <x:c r="B7" s="119" t="n">
        <x:v>0.35</x:v>
      </x:c>
      <x:c r="C7" s="119" t="n">
        <x:v>0.34</x:v>
      </x:c>
      <x:c r="D7" s="106" t="str">
        <x:v>F&amp;B + Finance</x:v>
      </x:c>
      <x:c r="E7" s="106" t="str">
        <x:v>cost / revenue</x:v>
      </x:c>
      <x:c r="F7" s="106" t="str">
        <x:v>Finance P&amp;L + procurement</x:v>
      </x:c>
      <x:c r="G7" s="106" t="str">
        <x:v>Monthly</x:v>
      </x:c>
      <x:c r="H7" s="106" t="str">
        <x:v>No quality/compliance breach</x:v>
      </x:c>
      <x:c r="I7" s="106" t="str">
        <x:v>Use like-for-like menu / period comparison</x:v>
      </x:c>
      <x:c r="J7" s="106" t="str">
        <x:v>Not started</x:v>
      </x:c>
      <x:c r="K7" s="106"/>
      <x:c r="L7" s="106"/>
      <x:c r="M7" s="106"/>
      <x:c r="N7" s="106"/>
      <x:c r="O7" s="106"/>
      <x:c r="P7" s="106"/>
      <x:c r="Q7" s="106"/>
      <x:c r="R7" s="106"/>
      <x:c r="S7" s="106"/>
      <x:c r="T7" s="106"/>
      <x:c r="U7" s="106"/>
      <x:c r="V7" s="106"/>
      <x:c r="W7" s="106"/>
      <x:c r="X7" s="106"/>
      <x:c r="Y7" s="106"/>
      <x:c r="Z7" s="106"/>
    </x:row>
    <x:row r="8">
      <x:c r="A8" s="106" t="str">
        <x:v>GOP improvement</x:v>
      </x:c>
      <x:c r="B8" s="118" t="n">
        <x:v>9300000</x:v>
      </x:c>
      <x:c r="C8" s="118" t="n">
        <x:v>10082700</x:v>
      </x:c>
      <x:c r="D8" s="106" t="str">
        <x:v>Finance</x:v>
      </x:c>
      <x:c r="E8" s="106" t="str">
        <x:v>HK$ per month</x:v>
      </x:c>
      <x:c r="F8" s="106" t="str">
        <x:v>Validated P&amp;L</x:v>
      </x:c>
      <x:c r="G8" s="106" t="str">
        <x:v>Monthly</x:v>
      </x:c>
      <x:c r="H8" s="106" t="str">
        <x:v>No double counting</x:v>
      </x:c>
      <x:c r="I8" s="106" t="str">
        <x:v>Reconcile to driver benefits; Finance sign-off</x:v>
      </x:c>
      <x:c r="J8" s="106" t="str">
        <x:v>Not started</x:v>
      </x:c>
      <x:c r="K8" s="106"/>
      <x:c r="L8" s="106"/>
      <x:c r="M8" s="106"/>
      <x:c r="N8" s="106"/>
      <x:c r="O8" s="106"/>
      <x:c r="P8" s="106"/>
      <x:c r="Q8" s="106"/>
      <x:c r="R8" s="106"/>
      <x:c r="S8" s="106"/>
      <x:c r="T8" s="106"/>
      <x:c r="U8" s="106"/>
      <x:c r="V8" s="106"/>
      <x:c r="W8" s="106"/>
      <x:c r="X8" s="106"/>
      <x:c r="Y8" s="106"/>
      <x:c r="Z8" s="106"/>
    </x:row>
    <x:row r="9">
      <x:c r="A9" s="106" t="str">
        <x:v>Guest satisfaction</x:v>
      </x:c>
      <x:c r="B9" s="120" t="n">
        <x:v>88</x:v>
      </x:c>
      <x:c r="C9" s="120" t="n">
        <x:v>88</x:v>
      </x:c>
      <x:c r="D9" s="106" t="str">
        <x:v>Operations</x:v>
      </x:c>
      <x:c r="E9" s="106" t="str">
        <x:v>score</x:v>
      </x:c>
      <x:c r="F9" s="106" t="str">
        <x:v>Guest feedback system</x:v>
      </x:c>
      <x:c r="G9" s="106" t="str">
        <x:v>Weekly</x:v>
      </x:c>
      <x:c r="H9" s="106" t="str">
        <x:v>Stop/redesign if &lt; 88</x:v>
      </x:c>
      <x:c r="I9" s="106" t="str">
        <x:v>Independent guardrail, not counted as financial benefit</x:v>
      </x:c>
      <x:c r="J9" s="106" t="str">
        <x:v>Not started</x:v>
      </x:c>
      <x:c r="K9" s="106"/>
      <x:c r="L9" s="106"/>
      <x:c r="M9" s="106"/>
      <x:c r="N9" s="106"/>
      <x:c r="O9" s="106"/>
      <x:c r="P9" s="106"/>
      <x:c r="Q9" s="106"/>
      <x:c r="R9" s="106"/>
      <x:c r="S9" s="106"/>
      <x:c r="T9" s="106"/>
      <x:c r="U9" s="106"/>
      <x:c r="V9" s="106"/>
      <x:c r="W9" s="106"/>
      <x:c r="X9" s="106"/>
      <x:c r="Y9" s="106"/>
      <x:c r="Z9" s="106"/>
    </x:row>
    <x:row r="10">
      <x:c r="A10" s="106"/>
      <x:c r="B10" s="106"/>
      <x:c r="C10" s="106"/>
      <x:c r="D10" s="106"/>
      <x:c r="E10" s="106"/>
      <x:c r="F10" s="106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106"/>
      <x:c r="Q10" s="106"/>
      <x:c r="R10" s="106"/>
      <x:c r="S10" s="106"/>
      <x:c r="T10" s="106"/>
      <x:c r="U10" s="106"/>
      <x:c r="V10" s="106"/>
      <x:c r="W10" s="106"/>
      <x:c r="X10" s="106"/>
      <x:c r="Y10" s="106"/>
      <x:c r="Z10" s="106"/>
    </x:row>
    <x:row r="11">
      <x:c r="A11" s="106"/>
      <x:c r="B11" s="106"/>
      <x:c r="C11" s="106"/>
      <x:c r="D11" s="106"/>
      <x:c r="E11" s="106"/>
      <x:c r="F11" s="106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106"/>
      <x:c r="Q11" s="106"/>
      <x:c r="R11" s="106"/>
      <x:c r="S11" s="106"/>
      <x:c r="T11" s="106"/>
      <x:c r="U11" s="106"/>
      <x:c r="V11" s="106"/>
      <x:c r="W11" s="106"/>
      <x:c r="X11" s="106"/>
      <x:c r="Y11" s="106"/>
      <x:c r="Z11" s="106"/>
    </x:row>
    <x:row r="12">
      <x:c r="A12" s="106"/>
      <x:c r="B12" s="106"/>
      <x:c r="C12" s="106"/>
      <x:c r="D12" s="106"/>
      <x:c r="E12" s="106"/>
      <x:c r="F12" s="106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106"/>
      <x:c r="Q12" s="106"/>
      <x:c r="R12" s="106"/>
      <x:c r="S12" s="106"/>
      <x:c r="T12" s="106"/>
      <x:c r="U12" s="106"/>
      <x:c r="V12" s="106"/>
      <x:c r="W12" s="106"/>
      <x:c r="X12" s="106"/>
      <x:c r="Y12" s="106"/>
      <x:c r="Z12" s="106"/>
    </x:row>
    <x:row r="13">
      <x:c r="A13" s="106"/>
      <x:c r="B13" s="106"/>
      <x:c r="C13" s="106"/>
      <x:c r="D13" s="106"/>
      <x:c r="E13" s="106"/>
      <x:c r="F13" s="106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106"/>
      <x:c r="Q13" s="106"/>
      <x:c r="R13" s="106"/>
      <x:c r="S13" s="106"/>
      <x:c r="T13" s="106"/>
      <x:c r="U13" s="106"/>
      <x:c r="V13" s="106"/>
      <x:c r="W13" s="106"/>
      <x:c r="X13" s="106"/>
      <x:c r="Y13" s="106"/>
      <x:c r="Z13" s="106"/>
    </x:row>
    <x:row r="14">
      <x:c r="A14" s="106"/>
      <x:c r="B14" s="106"/>
      <x:c r="C14" s="106"/>
      <x:c r="D14" s="106"/>
      <x:c r="E14" s="106"/>
      <x:c r="F14" s="106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106"/>
      <x:c r="Q14" s="106"/>
      <x:c r="R14" s="106"/>
      <x:c r="S14" s="106"/>
      <x:c r="T14" s="106"/>
      <x:c r="U14" s="106"/>
      <x:c r="V14" s="106"/>
      <x:c r="W14" s="106"/>
      <x:c r="X14" s="106"/>
      <x:c r="Y14" s="106"/>
      <x:c r="Z14" s="106"/>
    </x:row>
    <x:row r="15">
      <x:c r="A15" s="106"/>
      <x:c r="B15" s="106"/>
      <x:c r="C15" s="106"/>
      <x:c r="D15" s="106"/>
      <x:c r="E15" s="106"/>
      <x:c r="F15" s="106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106"/>
      <x:c r="Q15" s="106"/>
      <x:c r="R15" s="106"/>
      <x:c r="S15" s="106"/>
      <x:c r="T15" s="106"/>
      <x:c r="U15" s="106"/>
      <x:c r="V15" s="106"/>
      <x:c r="W15" s="106"/>
      <x:c r="X15" s="106"/>
      <x:c r="Y15" s="106"/>
      <x:c r="Z15" s="106"/>
    </x:row>
    <x:row r="16">
      <x:c r="A16" s="106"/>
      <x:c r="B16" s="106"/>
      <x:c r="C16" s="106"/>
      <x:c r="D16" s="106"/>
      <x:c r="E16" s="106"/>
      <x:c r="F16" s="106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106"/>
      <x:c r="Q16" s="106"/>
      <x:c r="R16" s="106"/>
      <x:c r="S16" s="106"/>
      <x:c r="T16" s="106"/>
      <x:c r="U16" s="106"/>
      <x:c r="V16" s="106"/>
      <x:c r="W16" s="106"/>
      <x:c r="X16" s="106"/>
      <x:c r="Y16" s="106"/>
      <x:c r="Z16" s="106"/>
    </x:row>
    <x:row r="17">
      <x:c r="A17" s="106"/>
      <x:c r="B17" s="106"/>
      <x:c r="C17" s="106"/>
      <x:c r="D17" s="106"/>
      <x:c r="E17" s="106"/>
      <x:c r="F17" s="106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106"/>
      <x:c r="Q17" s="106"/>
      <x:c r="R17" s="106"/>
      <x:c r="S17" s="106"/>
      <x:c r="T17" s="106"/>
      <x:c r="U17" s="106"/>
      <x:c r="V17" s="106"/>
      <x:c r="W17" s="106"/>
      <x:c r="X17" s="106"/>
      <x:c r="Y17" s="106"/>
      <x:c r="Z17" s="106"/>
    </x:row>
    <x:row r="18">
      <x:c r="A18" s="106"/>
      <x:c r="B18" s="106"/>
      <x:c r="C18" s="106"/>
      <x:c r="D18" s="106"/>
      <x:c r="E18" s="106"/>
      <x:c r="F18" s="106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106"/>
      <x:c r="Q18" s="106"/>
      <x:c r="R18" s="106"/>
      <x:c r="S18" s="106"/>
      <x:c r="T18" s="106"/>
      <x:c r="U18" s="106"/>
      <x:c r="V18" s="106"/>
      <x:c r="W18" s="106"/>
      <x:c r="X18" s="106"/>
      <x:c r="Y18" s="106"/>
      <x:c r="Z18" s="106"/>
    </x:row>
    <x:row r="19">
      <x:c r="A19" s="106"/>
      <x:c r="B19" s="106"/>
      <x:c r="C19" s="106"/>
      <x:c r="D19" s="106"/>
      <x:c r="E19" s="106"/>
      <x:c r="F19" s="106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106"/>
      <x:c r="Q19" s="106"/>
      <x:c r="R19" s="106"/>
      <x:c r="S19" s="106"/>
      <x:c r="T19" s="106"/>
      <x:c r="U19" s="106"/>
      <x:c r="V19" s="106"/>
      <x:c r="W19" s="106"/>
      <x:c r="X19" s="106"/>
      <x:c r="Y19" s="106"/>
      <x:c r="Z19" s="106"/>
    </x:row>
    <x:row r="20">
      <x:c r="A20" s="106"/>
      <x:c r="B20" s="106"/>
      <x:c r="C20" s="106"/>
      <x:c r="D20" s="106"/>
      <x:c r="E20" s="106"/>
      <x:c r="F20" s="106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106"/>
      <x:c r="Q20" s="106"/>
      <x:c r="R20" s="106"/>
      <x:c r="S20" s="106"/>
      <x:c r="T20" s="106"/>
      <x:c r="U20" s="106"/>
      <x:c r="V20" s="106"/>
      <x:c r="W20" s="106"/>
      <x:c r="X20" s="106"/>
      <x:c r="Y20" s="106"/>
      <x:c r="Z20" s="106"/>
    </x:row>
    <x:row r="21">
      <x:c r="A21" s="106"/>
      <x:c r="B21" s="106"/>
      <x:c r="C21" s="106"/>
      <x:c r="D21" s="106"/>
      <x:c r="E21" s="106"/>
      <x:c r="F21" s="106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106"/>
      <x:c r="Q21" s="106"/>
      <x:c r="R21" s="106"/>
      <x:c r="S21" s="106"/>
      <x:c r="T21" s="106"/>
      <x:c r="U21" s="106"/>
      <x:c r="V21" s="106"/>
      <x:c r="W21" s="106"/>
      <x:c r="X21" s="106"/>
      <x:c r="Y21" s="106"/>
      <x:c r="Z21" s="106"/>
    </x:row>
    <x:row r="22">
      <x:c r="A22" s="106"/>
      <x:c r="B22" s="106"/>
      <x:c r="C22" s="106"/>
      <x:c r="D22" s="106"/>
      <x:c r="E22" s="106"/>
      <x:c r="F22" s="106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106"/>
      <x:c r="Q22" s="106"/>
      <x:c r="R22" s="106"/>
      <x:c r="S22" s="106"/>
      <x:c r="T22" s="106"/>
      <x:c r="U22" s="106"/>
      <x:c r="V22" s="106"/>
      <x:c r="W22" s="106"/>
      <x:c r="X22" s="106"/>
      <x:c r="Y22" s="106"/>
      <x:c r="Z22" s="106"/>
    </x:row>
    <x:row r="23">
      <x:c r="A23" s="106"/>
      <x:c r="B23" s="106"/>
      <x:c r="C23" s="106"/>
      <x:c r="D23" s="106"/>
      <x:c r="E23" s="106"/>
      <x:c r="F23" s="106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106"/>
      <x:c r="Q23" s="106"/>
      <x:c r="R23" s="106"/>
      <x:c r="S23" s="106"/>
      <x:c r="T23" s="106"/>
      <x:c r="U23" s="106"/>
      <x:c r="V23" s="106"/>
      <x:c r="W23" s="106"/>
      <x:c r="X23" s="106"/>
      <x:c r="Y23" s="106"/>
      <x:c r="Z23" s="106"/>
    </x:row>
    <x:row r="24">
      <x:c r="A24" s="106"/>
      <x:c r="B24" s="106"/>
      <x:c r="C24" s="106"/>
      <x:c r="D24" s="106"/>
      <x:c r="E24" s="106"/>
      <x:c r="F24" s="106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106"/>
      <x:c r="Q24" s="106"/>
      <x:c r="R24" s="106"/>
      <x:c r="S24" s="106"/>
      <x:c r="T24" s="106"/>
      <x:c r="U24" s="106"/>
      <x:c r="V24" s="106"/>
      <x:c r="W24" s="106"/>
      <x:c r="X24" s="106"/>
      <x:c r="Y24" s="106"/>
      <x:c r="Z24" s="106"/>
    </x:row>
    <x:row r="25">
      <x:c r="A25" s="106"/>
      <x:c r="B25" s="106"/>
      <x:c r="C25" s="106"/>
      <x:c r="D25" s="106"/>
      <x:c r="E25" s="106"/>
      <x:c r="F25" s="106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106"/>
      <x:c r="Q25" s="106"/>
      <x:c r="R25" s="106"/>
      <x:c r="S25" s="106"/>
      <x:c r="T25" s="106"/>
      <x:c r="U25" s="106"/>
      <x:c r="V25" s="106"/>
      <x:c r="W25" s="106"/>
      <x:c r="X25" s="106"/>
      <x:c r="Y25" s="106"/>
      <x:c r="Z25" s="106"/>
    </x:row>
    <x:row r="26">
      <x:c r="A26" s="106"/>
      <x:c r="B26" s="106"/>
      <x:c r="C26" s="106"/>
      <x:c r="D26" s="106"/>
      <x:c r="E26" s="106"/>
      <x:c r="F26" s="106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106"/>
      <x:c r="Q26" s="106"/>
      <x:c r="R26" s="106"/>
      <x:c r="S26" s="106"/>
      <x:c r="T26" s="106"/>
      <x:c r="U26" s="106"/>
      <x:c r="V26" s="106"/>
      <x:c r="W26" s="106"/>
      <x:c r="X26" s="106"/>
      <x:c r="Y26" s="106"/>
      <x:c r="Z26" s="106"/>
    </x:row>
    <x:row r="27">
      <x:c r="A27" s="106"/>
      <x:c r="B27" s="106"/>
      <x:c r="C27" s="106"/>
      <x:c r="D27" s="106"/>
      <x:c r="E27" s="106"/>
      <x:c r="F27" s="106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106"/>
      <x:c r="Q27" s="106"/>
      <x:c r="R27" s="106"/>
      <x:c r="S27" s="106"/>
      <x:c r="T27" s="106"/>
      <x:c r="U27" s="106"/>
      <x:c r="V27" s="106"/>
      <x:c r="W27" s="106"/>
      <x:c r="X27" s="106"/>
      <x:c r="Y27" s="106"/>
      <x:c r="Z27" s="106"/>
    </x:row>
    <x:row r="28">
      <x:c r="A28" s="106"/>
      <x:c r="B28" s="106"/>
      <x:c r="C28" s="106"/>
      <x:c r="D28" s="106"/>
      <x:c r="E28" s="106"/>
      <x:c r="F28" s="106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106"/>
      <x:c r="Q28" s="106"/>
      <x:c r="R28" s="106"/>
      <x:c r="S28" s="106"/>
      <x:c r="T28" s="106"/>
      <x:c r="U28" s="106"/>
      <x:c r="V28" s="106"/>
      <x:c r="W28" s="106"/>
      <x:c r="X28" s="106"/>
      <x:c r="Y28" s="106"/>
      <x:c r="Z28" s="106"/>
    </x:row>
    <x:row r="29">
      <x:c r="A29" s="106"/>
      <x:c r="B29" s="106"/>
      <x:c r="C29" s="106"/>
      <x:c r="D29" s="106"/>
      <x:c r="E29" s="106"/>
      <x:c r="F29" s="106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106"/>
      <x:c r="Q29" s="106"/>
      <x:c r="R29" s="106"/>
      <x:c r="S29" s="106"/>
      <x:c r="T29" s="106"/>
      <x:c r="U29" s="106"/>
      <x:c r="V29" s="106"/>
      <x:c r="W29" s="106"/>
      <x:c r="X29" s="106"/>
      <x:c r="Y29" s="106"/>
      <x:c r="Z29" s="106"/>
    </x:row>
    <x:row r="30">
      <x:c r="A30" s="106"/>
      <x:c r="B30" s="106"/>
      <x:c r="C30" s="106"/>
      <x:c r="D30" s="106"/>
      <x:c r="E30" s="106"/>
      <x:c r="F30" s="106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106"/>
      <x:c r="Q30" s="106"/>
      <x:c r="R30" s="106"/>
      <x:c r="S30" s="106"/>
      <x:c r="T30" s="106"/>
      <x:c r="U30" s="106"/>
      <x:c r="V30" s="106"/>
      <x:c r="W30" s="106"/>
      <x:c r="X30" s="106"/>
      <x:c r="Y30" s="106"/>
      <x:c r="Z30" s="106"/>
    </x:row>
    <x:row r="31">
      <x:c r="A31" s="106"/>
      <x:c r="B31" s="106"/>
      <x:c r="C31" s="106"/>
      <x:c r="D31" s="106"/>
      <x:c r="E31" s="106"/>
      <x:c r="F31" s="106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106"/>
      <x:c r="Q31" s="106"/>
      <x:c r="R31" s="106"/>
      <x:c r="S31" s="106"/>
      <x:c r="T31" s="106"/>
      <x:c r="U31" s="106"/>
      <x:c r="V31" s="106"/>
      <x:c r="W31" s="106"/>
      <x:c r="X31" s="106"/>
      <x:c r="Y31" s="106"/>
      <x:c r="Z31" s="106"/>
    </x:row>
    <x:row r="32">
      <x:c r="A32" s="106"/>
      <x:c r="B32" s="106"/>
      <x:c r="C32" s="106"/>
      <x:c r="D32" s="106"/>
      <x:c r="E32" s="106"/>
      <x:c r="F32" s="106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106"/>
      <x:c r="Q32" s="106"/>
      <x:c r="R32" s="106"/>
      <x:c r="S32" s="106"/>
      <x:c r="T32" s="106"/>
      <x:c r="U32" s="106"/>
      <x:c r="V32" s="106"/>
      <x:c r="W32" s="106"/>
      <x:c r="X32" s="106"/>
      <x:c r="Y32" s="106"/>
      <x:c r="Z32" s="106"/>
    </x:row>
    <x:row r="33">
      <x:c r="A33" s="106"/>
      <x:c r="B33" s="106"/>
      <x:c r="C33" s="106"/>
      <x:c r="D33" s="106"/>
      <x:c r="E33" s="106"/>
      <x:c r="F33" s="106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106"/>
      <x:c r="Q33" s="106"/>
      <x:c r="R33" s="106"/>
      <x:c r="S33" s="106"/>
      <x:c r="T33" s="106"/>
      <x:c r="U33" s="106"/>
      <x:c r="V33" s="106"/>
      <x:c r="W33" s="106"/>
      <x:c r="X33" s="106"/>
      <x:c r="Y33" s="106"/>
      <x:c r="Z33" s="106"/>
    </x:row>
    <x:row r="34">
      <x:c r="A34" s="106"/>
      <x:c r="B34" s="106"/>
      <x:c r="C34" s="106"/>
      <x:c r="D34" s="106"/>
      <x:c r="E34" s="106"/>
      <x:c r="F34" s="106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106"/>
      <x:c r="Q34" s="106"/>
      <x:c r="R34" s="106"/>
      <x:c r="S34" s="106"/>
      <x:c r="T34" s="106"/>
      <x:c r="U34" s="106"/>
      <x:c r="V34" s="106"/>
      <x:c r="W34" s="106"/>
      <x:c r="X34" s="106"/>
      <x:c r="Y34" s="106"/>
      <x:c r="Z34" s="106"/>
    </x:row>
    <x:row r="35">
      <x:c r="A35" s="106"/>
      <x:c r="B35" s="106"/>
      <x:c r="C35" s="106"/>
      <x:c r="D35" s="106"/>
      <x:c r="E35" s="106"/>
      <x:c r="F35" s="106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106"/>
      <x:c r="Q35" s="106"/>
      <x:c r="R35" s="106"/>
      <x:c r="S35" s="106"/>
      <x:c r="T35" s="106"/>
      <x:c r="U35" s="106"/>
      <x:c r="V35" s="106"/>
      <x:c r="W35" s="106"/>
      <x:c r="X35" s="106"/>
      <x:c r="Y35" s="106"/>
      <x:c r="Z35" s="106"/>
    </x:row>
    <x:row r="36">
      <x:c r="A36" s="106"/>
      <x:c r="B36" s="106"/>
      <x:c r="C36" s="106"/>
      <x:c r="D36" s="106"/>
      <x:c r="E36" s="106"/>
      <x:c r="F36" s="106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106"/>
      <x:c r="Q36" s="106"/>
      <x:c r="R36" s="106"/>
      <x:c r="S36" s="106"/>
      <x:c r="T36" s="106"/>
      <x:c r="U36" s="106"/>
      <x:c r="V36" s="106"/>
      <x:c r="W36" s="106"/>
      <x:c r="X36" s="106"/>
      <x:c r="Y36" s="106"/>
      <x:c r="Z36" s="106"/>
    </x:row>
    <x:row r="37">
      <x:c r="A37" s="106"/>
      <x:c r="B37" s="106"/>
      <x:c r="C37" s="106"/>
      <x:c r="D37" s="106"/>
      <x:c r="E37" s="106"/>
      <x:c r="F37" s="106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106"/>
      <x:c r="Q37" s="106"/>
      <x:c r="R37" s="106"/>
      <x:c r="S37" s="106"/>
      <x:c r="T37" s="106"/>
      <x:c r="U37" s="106"/>
      <x:c r="V37" s="106"/>
      <x:c r="W37" s="106"/>
      <x:c r="X37" s="106"/>
      <x:c r="Y37" s="106"/>
      <x:c r="Z37" s="106"/>
    </x:row>
    <x:row r="38">
      <x:c r="A38" s="106"/>
      <x:c r="B38" s="106"/>
      <x:c r="C38" s="106"/>
      <x:c r="D38" s="106"/>
      <x:c r="E38" s="106"/>
      <x:c r="F38" s="106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106"/>
      <x:c r="Q38" s="106"/>
      <x:c r="R38" s="106"/>
      <x:c r="S38" s="106"/>
      <x:c r="T38" s="106"/>
      <x:c r="U38" s="106"/>
      <x:c r="V38" s="106"/>
      <x:c r="W38" s="106"/>
      <x:c r="X38" s="106"/>
      <x:c r="Y38" s="106"/>
      <x:c r="Z38" s="106"/>
    </x:row>
    <x:row r="39">
      <x:c r="A39" s="106"/>
      <x:c r="B39" s="106"/>
      <x:c r="C39" s="106"/>
      <x:c r="D39" s="106"/>
      <x:c r="E39" s="106"/>
      <x:c r="F39" s="106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106"/>
      <x:c r="Q39" s="106"/>
      <x:c r="R39" s="106"/>
      <x:c r="S39" s="106"/>
      <x:c r="T39" s="106"/>
      <x:c r="U39" s="106"/>
      <x:c r="V39" s="106"/>
      <x:c r="W39" s="106"/>
      <x:c r="X39" s="106"/>
      <x:c r="Y39" s="106"/>
      <x:c r="Z39" s="106"/>
    </x:row>
    <x:row r="40">
      <x:c r="A40" s="106"/>
      <x:c r="B40" s="106"/>
      <x:c r="C40" s="106"/>
      <x:c r="D40" s="106"/>
      <x:c r="E40" s="106"/>
      <x:c r="F40" s="106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106"/>
      <x:c r="Q40" s="106"/>
      <x:c r="R40" s="106"/>
      <x:c r="S40" s="106"/>
      <x:c r="T40" s="106"/>
      <x:c r="U40" s="106"/>
      <x:c r="V40" s="106"/>
      <x:c r="W40" s="106"/>
      <x:c r="X40" s="106"/>
      <x:c r="Y40" s="106"/>
      <x:c r="Z40" s="106"/>
    </x:row>
    <x:row r="41">
      <x:c r="A41" s="106"/>
      <x:c r="B41" s="106"/>
      <x:c r="C41" s="106"/>
      <x:c r="D41" s="106"/>
      <x:c r="E41" s="106"/>
      <x:c r="F41" s="106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106"/>
      <x:c r="Q41" s="106"/>
      <x:c r="R41" s="106"/>
      <x:c r="S41" s="106"/>
      <x:c r="T41" s="106"/>
      <x:c r="U41" s="106"/>
      <x:c r="V41" s="106"/>
      <x:c r="W41" s="106"/>
      <x:c r="X41" s="106"/>
      <x:c r="Y41" s="106"/>
      <x:c r="Z41" s="106"/>
    </x:row>
    <x:row r="42">
      <x:c r="A42" s="106"/>
      <x:c r="B42" s="106"/>
      <x:c r="C42" s="106"/>
      <x:c r="D42" s="106"/>
      <x:c r="E42" s="106"/>
      <x:c r="F42" s="106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106"/>
      <x:c r="Q42" s="106"/>
      <x:c r="R42" s="106"/>
      <x:c r="S42" s="106"/>
      <x:c r="T42" s="106"/>
      <x:c r="U42" s="106"/>
      <x:c r="V42" s="106"/>
      <x:c r="W42" s="106"/>
      <x:c r="X42" s="106"/>
      <x:c r="Y42" s="106"/>
      <x:c r="Z42" s="106"/>
    </x:row>
    <x:row r="43">
      <x:c r="A43" s="106"/>
      <x:c r="B43" s="106"/>
      <x:c r="C43" s="106"/>
      <x:c r="D43" s="106"/>
      <x:c r="E43" s="106"/>
      <x:c r="F43" s="106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106"/>
      <x:c r="Q43" s="106"/>
      <x:c r="R43" s="106"/>
      <x:c r="S43" s="106"/>
      <x:c r="T43" s="106"/>
      <x:c r="U43" s="106"/>
      <x:c r="V43" s="106"/>
      <x:c r="W43" s="106"/>
      <x:c r="X43" s="106"/>
      <x:c r="Y43" s="106"/>
      <x:c r="Z43" s="106"/>
    </x:row>
    <x:row r="44">
      <x:c r="A44" s="106"/>
      <x:c r="B44" s="106"/>
      <x:c r="C44" s="106"/>
      <x:c r="D44" s="106"/>
      <x:c r="E44" s="106"/>
      <x:c r="F44" s="106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106"/>
      <x:c r="Q44" s="106"/>
      <x:c r="R44" s="106"/>
      <x:c r="S44" s="106"/>
      <x:c r="T44" s="106"/>
      <x:c r="U44" s="106"/>
      <x:c r="V44" s="106"/>
      <x:c r="W44" s="106"/>
      <x:c r="X44" s="106"/>
      <x:c r="Y44" s="106"/>
      <x:c r="Z44" s="106"/>
    </x:row>
    <x:row r="45">
      <x:c r="A45" s="106"/>
      <x:c r="B45" s="106"/>
      <x:c r="C45" s="106"/>
      <x:c r="D45" s="106"/>
      <x:c r="E45" s="106"/>
      <x:c r="F45" s="106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106"/>
      <x:c r="Q45" s="106"/>
      <x:c r="R45" s="106"/>
      <x:c r="S45" s="106"/>
      <x:c r="T45" s="106"/>
      <x:c r="U45" s="106"/>
      <x:c r="V45" s="106"/>
      <x:c r="W45" s="106"/>
      <x:c r="X45" s="106"/>
      <x:c r="Y45" s="106"/>
      <x:c r="Z45" s="106"/>
    </x:row>
    <x:row r="46">
      <x:c r="A46" s="106"/>
      <x:c r="B46" s="106"/>
      <x:c r="C46" s="106"/>
      <x:c r="D46" s="106"/>
      <x:c r="E46" s="106"/>
      <x:c r="F46" s="106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106"/>
      <x:c r="Q46" s="106"/>
      <x:c r="R46" s="106"/>
      <x:c r="S46" s="106"/>
      <x:c r="T46" s="106"/>
      <x:c r="U46" s="106"/>
      <x:c r="V46" s="106"/>
      <x:c r="W46" s="106"/>
      <x:c r="X46" s="106"/>
      <x:c r="Y46" s="106"/>
      <x:c r="Z46" s="106"/>
    </x:row>
    <x:row r="47">
      <x:c r="A47" s="106"/>
      <x:c r="B47" s="106"/>
      <x:c r="C47" s="106"/>
      <x:c r="D47" s="106"/>
      <x:c r="E47" s="106"/>
      <x:c r="F47" s="106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106"/>
      <x:c r="Q47" s="106"/>
      <x:c r="R47" s="106"/>
      <x:c r="S47" s="106"/>
      <x:c r="T47" s="106"/>
      <x:c r="U47" s="106"/>
      <x:c r="V47" s="106"/>
      <x:c r="W47" s="106"/>
      <x:c r="X47" s="106"/>
      <x:c r="Y47" s="106"/>
      <x:c r="Z47" s="106"/>
    </x:row>
    <x:row r="48">
      <x:c r="A48" s="106"/>
      <x:c r="B48" s="106"/>
      <x:c r="C48" s="106"/>
      <x:c r="D48" s="106"/>
      <x:c r="E48" s="106"/>
      <x:c r="F48" s="106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106"/>
      <x:c r="Q48" s="106"/>
      <x:c r="R48" s="106"/>
      <x:c r="S48" s="106"/>
      <x:c r="T48" s="106"/>
      <x:c r="U48" s="106"/>
      <x:c r="V48" s="106"/>
      <x:c r="W48" s="106"/>
      <x:c r="X48" s="106"/>
      <x:c r="Y48" s="106"/>
      <x:c r="Z48" s="106"/>
    </x:row>
    <x:row r="49">
      <x:c r="A49" s="106"/>
      <x:c r="B49" s="106"/>
      <x:c r="C49" s="106"/>
      <x:c r="D49" s="106"/>
      <x:c r="E49" s="106"/>
      <x:c r="F49" s="106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106"/>
      <x:c r="Q49" s="106"/>
      <x:c r="R49" s="106"/>
      <x:c r="S49" s="106"/>
      <x:c r="T49" s="106"/>
      <x:c r="U49" s="106"/>
      <x:c r="V49" s="106"/>
      <x:c r="W49" s="106"/>
      <x:c r="X49" s="106"/>
      <x:c r="Y49" s="106"/>
      <x:c r="Z49" s="106"/>
    </x:row>
    <x:row r="50">
      <x:c r="A50" s="106"/>
      <x:c r="B50" s="106"/>
      <x:c r="C50" s="106"/>
      <x:c r="D50" s="106"/>
      <x:c r="E50" s="106"/>
      <x:c r="F50" s="106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106"/>
      <x:c r="Q50" s="106"/>
      <x:c r="R50" s="106"/>
      <x:c r="S50" s="106"/>
      <x:c r="T50" s="106"/>
      <x:c r="U50" s="106"/>
      <x:c r="V50" s="106"/>
      <x:c r="W50" s="106"/>
      <x:c r="X50" s="106"/>
      <x:c r="Y50" s="106"/>
      <x:c r="Z50" s="106"/>
    </x:row>
    <x:row r="51">
      <x:c r="A51" s="106"/>
      <x:c r="B51" s="106"/>
      <x:c r="C51" s="106"/>
      <x:c r="D51" s="106"/>
      <x:c r="E51" s="106"/>
      <x:c r="F51" s="106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106"/>
      <x:c r="Q51" s="106"/>
      <x:c r="R51" s="106"/>
      <x:c r="S51" s="106"/>
      <x:c r="T51" s="106"/>
      <x:c r="U51" s="106"/>
      <x:c r="V51" s="106"/>
      <x:c r="W51" s="106"/>
      <x:c r="X51" s="106"/>
      <x:c r="Y51" s="106"/>
      <x:c r="Z51" s="106"/>
    </x:row>
    <x:row r="52">
      <x:c r="A52" s="106"/>
      <x:c r="B52" s="106"/>
      <x:c r="C52" s="106"/>
      <x:c r="D52" s="106"/>
      <x:c r="E52" s="106"/>
      <x:c r="F52" s="106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106"/>
      <x:c r="Q52" s="106"/>
      <x:c r="R52" s="106"/>
      <x:c r="S52" s="106"/>
      <x:c r="T52" s="106"/>
      <x:c r="U52" s="106"/>
      <x:c r="V52" s="106"/>
      <x:c r="W52" s="106"/>
      <x:c r="X52" s="106"/>
      <x:c r="Y52" s="106"/>
      <x:c r="Z52" s="106"/>
    </x:row>
    <x:row r="53">
      <x:c r="A53" s="106"/>
      <x:c r="B53" s="106"/>
      <x:c r="C53" s="106"/>
      <x:c r="D53" s="106"/>
      <x:c r="E53" s="106"/>
      <x:c r="F53" s="106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106"/>
      <x:c r="Q53" s="106"/>
      <x:c r="R53" s="106"/>
      <x:c r="S53" s="106"/>
      <x:c r="T53" s="106"/>
      <x:c r="U53" s="106"/>
      <x:c r="V53" s="106"/>
      <x:c r="W53" s="106"/>
      <x:c r="X53" s="106"/>
      <x:c r="Y53" s="106"/>
      <x:c r="Z53" s="106"/>
    </x:row>
    <x:row r="54">
      <x:c r="A54" s="106"/>
      <x:c r="B54" s="106"/>
      <x:c r="C54" s="106"/>
      <x:c r="D54" s="106"/>
      <x:c r="E54" s="106"/>
      <x:c r="F54" s="106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106"/>
      <x:c r="Q54" s="106"/>
      <x:c r="R54" s="106"/>
      <x:c r="S54" s="106"/>
      <x:c r="T54" s="106"/>
      <x:c r="U54" s="106"/>
      <x:c r="V54" s="106"/>
      <x:c r="W54" s="106"/>
      <x:c r="X54" s="106"/>
      <x:c r="Y54" s="106"/>
      <x:c r="Z54" s="106"/>
    </x:row>
    <x:row r="55">
      <x:c r="A55" s="106"/>
      <x:c r="B55" s="106"/>
      <x:c r="C55" s="106"/>
      <x:c r="D55" s="106"/>
      <x:c r="E55" s="106"/>
      <x:c r="F55" s="106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106"/>
      <x:c r="Q55" s="106"/>
      <x:c r="R55" s="106"/>
      <x:c r="S55" s="106"/>
      <x:c r="T55" s="106"/>
      <x:c r="U55" s="106"/>
      <x:c r="V55" s="106"/>
      <x:c r="W55" s="106"/>
      <x:c r="X55" s="106"/>
      <x:c r="Y55" s="106"/>
      <x:c r="Z55" s="106"/>
    </x:row>
    <x:row r="56">
      <x:c r="A56" s="106"/>
      <x:c r="B56" s="106"/>
      <x:c r="C56" s="106"/>
      <x:c r="D56" s="106"/>
      <x:c r="E56" s="106"/>
      <x:c r="F56" s="106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106"/>
      <x:c r="Q56" s="106"/>
      <x:c r="R56" s="106"/>
      <x:c r="S56" s="106"/>
      <x:c r="T56" s="106"/>
      <x:c r="U56" s="106"/>
      <x:c r="V56" s="106"/>
      <x:c r="W56" s="106"/>
      <x:c r="X56" s="106"/>
      <x:c r="Y56" s="106"/>
      <x:c r="Z56" s="106"/>
    </x:row>
    <x:row r="57">
      <x:c r="A57" s="106"/>
      <x:c r="B57" s="106"/>
      <x:c r="C57" s="106"/>
      <x:c r="D57" s="106"/>
      <x:c r="E57" s="106"/>
      <x:c r="F57" s="106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106"/>
      <x:c r="Q57" s="106"/>
      <x:c r="R57" s="106"/>
      <x:c r="S57" s="106"/>
      <x:c r="T57" s="106"/>
      <x:c r="U57" s="106"/>
      <x:c r="V57" s="106"/>
      <x:c r="W57" s="106"/>
      <x:c r="X57" s="106"/>
      <x:c r="Y57" s="106"/>
      <x:c r="Z57" s="106"/>
    </x:row>
    <x:row r="58">
      <x:c r="A58" s="106"/>
      <x:c r="B58" s="106"/>
      <x:c r="C58" s="106"/>
      <x:c r="D58" s="106"/>
      <x:c r="E58" s="106"/>
      <x:c r="F58" s="106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106"/>
      <x:c r="Q58" s="106"/>
      <x:c r="R58" s="106"/>
      <x:c r="S58" s="106"/>
      <x:c r="T58" s="106"/>
      <x:c r="U58" s="106"/>
      <x:c r="V58" s="106"/>
      <x:c r="W58" s="106"/>
      <x:c r="X58" s="106"/>
      <x:c r="Y58" s="106"/>
      <x:c r="Z58" s="106"/>
    </x:row>
    <x:row r="59">
      <x:c r="A59" s="106"/>
      <x:c r="B59" s="106"/>
      <x:c r="C59" s="106"/>
      <x:c r="D59" s="106"/>
      <x:c r="E59" s="106"/>
      <x:c r="F59" s="106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106"/>
      <x:c r="Q59" s="106"/>
      <x:c r="R59" s="106"/>
      <x:c r="S59" s="106"/>
      <x:c r="T59" s="106"/>
      <x:c r="U59" s="106"/>
      <x:c r="V59" s="106"/>
      <x:c r="W59" s="106"/>
      <x:c r="X59" s="106"/>
      <x:c r="Y59" s="106"/>
      <x:c r="Z59" s="106"/>
    </x:row>
    <x:row r="60">
      <x:c r="A60" s="106"/>
      <x:c r="B60" s="106"/>
      <x:c r="C60" s="106"/>
      <x:c r="D60" s="106"/>
      <x:c r="E60" s="106"/>
      <x:c r="F60" s="106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106"/>
      <x:c r="Q60" s="106"/>
      <x:c r="R60" s="106"/>
      <x:c r="S60" s="106"/>
      <x:c r="T60" s="106"/>
      <x:c r="U60" s="106"/>
      <x:c r="V60" s="106"/>
      <x:c r="W60" s="106"/>
      <x:c r="X60" s="106"/>
      <x:c r="Y60" s="106"/>
      <x:c r="Z60" s="106"/>
    </x:row>
    <x:row r="61">
      <x:c r="A61" s="106"/>
      <x:c r="B61" s="106"/>
      <x:c r="C61" s="106"/>
      <x:c r="D61" s="106"/>
      <x:c r="E61" s="106"/>
      <x:c r="F61" s="106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106"/>
      <x:c r="Q61" s="106"/>
      <x:c r="R61" s="106"/>
      <x:c r="S61" s="106"/>
      <x:c r="T61" s="106"/>
      <x:c r="U61" s="106"/>
      <x:c r="V61" s="106"/>
      <x:c r="W61" s="106"/>
      <x:c r="X61" s="106"/>
      <x:c r="Y61" s="106"/>
      <x:c r="Z61" s="106"/>
    </x:row>
    <x:row r="62">
      <x:c r="A62" s="106"/>
      <x:c r="B62" s="106"/>
      <x:c r="C62" s="106"/>
      <x:c r="D62" s="106"/>
      <x:c r="E62" s="106"/>
      <x:c r="F62" s="106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106"/>
      <x:c r="Q62" s="106"/>
      <x:c r="R62" s="106"/>
      <x:c r="S62" s="106"/>
      <x:c r="T62" s="106"/>
      <x:c r="U62" s="106"/>
      <x:c r="V62" s="106"/>
      <x:c r="W62" s="106"/>
      <x:c r="X62" s="106"/>
      <x:c r="Y62" s="106"/>
      <x:c r="Z62" s="106"/>
    </x:row>
    <x:row r="63">
      <x:c r="A63" s="106"/>
      <x:c r="B63" s="106"/>
      <x:c r="C63" s="106"/>
      <x:c r="D63" s="106"/>
      <x:c r="E63" s="106"/>
      <x:c r="F63" s="106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106"/>
      <x:c r="Q63" s="106"/>
      <x:c r="R63" s="106"/>
      <x:c r="S63" s="106"/>
      <x:c r="T63" s="106"/>
      <x:c r="U63" s="106"/>
      <x:c r="V63" s="106"/>
      <x:c r="W63" s="106"/>
      <x:c r="X63" s="106"/>
      <x:c r="Y63" s="106"/>
      <x:c r="Z63" s="106"/>
    </x:row>
    <x:row r="64">
      <x:c r="A64" s="106"/>
      <x:c r="B64" s="106"/>
      <x:c r="C64" s="106"/>
      <x:c r="D64" s="106"/>
      <x:c r="E64" s="106"/>
      <x:c r="F64" s="106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106"/>
      <x:c r="Q64" s="106"/>
      <x:c r="R64" s="106"/>
      <x:c r="S64" s="106"/>
      <x:c r="T64" s="106"/>
      <x:c r="U64" s="106"/>
      <x:c r="V64" s="106"/>
      <x:c r="W64" s="106"/>
      <x:c r="X64" s="106"/>
      <x:c r="Y64" s="106"/>
      <x:c r="Z64" s="106"/>
    </x:row>
    <x:row r="65">
      <x:c r="A65" s="106"/>
      <x:c r="B65" s="106"/>
      <x:c r="C65" s="106"/>
      <x:c r="D65" s="106"/>
      <x:c r="E65" s="106"/>
      <x:c r="F65" s="106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106"/>
      <x:c r="Q65" s="106"/>
      <x:c r="R65" s="106"/>
      <x:c r="S65" s="106"/>
      <x:c r="T65" s="106"/>
      <x:c r="U65" s="106"/>
      <x:c r="V65" s="106"/>
      <x:c r="W65" s="106"/>
      <x:c r="X65" s="106"/>
      <x:c r="Y65" s="106"/>
      <x:c r="Z65" s="106"/>
    </x:row>
    <x:row r="66">
      <x:c r="A66" s="106"/>
      <x:c r="B66" s="106"/>
      <x:c r="C66" s="106"/>
      <x:c r="D66" s="106"/>
      <x:c r="E66" s="106"/>
      <x:c r="F66" s="106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106"/>
      <x:c r="Q66" s="106"/>
      <x:c r="R66" s="106"/>
      <x:c r="S66" s="106"/>
      <x:c r="T66" s="106"/>
      <x:c r="U66" s="106"/>
      <x:c r="V66" s="106"/>
      <x:c r="W66" s="106"/>
      <x:c r="X66" s="106"/>
      <x:c r="Y66" s="106"/>
      <x:c r="Z66" s="106"/>
    </x:row>
    <x:row r="67">
      <x:c r="A67" s="106"/>
      <x:c r="B67" s="106"/>
      <x:c r="C67" s="106"/>
      <x:c r="D67" s="106"/>
      <x:c r="E67" s="106"/>
      <x:c r="F67" s="106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106"/>
      <x:c r="Q67" s="106"/>
      <x:c r="R67" s="106"/>
      <x:c r="S67" s="106"/>
      <x:c r="T67" s="106"/>
      <x:c r="U67" s="106"/>
      <x:c r="V67" s="106"/>
      <x:c r="W67" s="106"/>
      <x:c r="X67" s="106"/>
      <x:c r="Y67" s="106"/>
      <x:c r="Z67" s="106"/>
    </x:row>
    <x:row r="68">
      <x:c r="A68" s="106"/>
      <x:c r="B68" s="106"/>
      <x:c r="C68" s="106"/>
      <x:c r="D68" s="106"/>
      <x:c r="E68" s="106"/>
      <x:c r="F68" s="106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106"/>
      <x:c r="Q68" s="106"/>
      <x:c r="R68" s="106"/>
      <x:c r="S68" s="106"/>
      <x:c r="T68" s="106"/>
      <x:c r="U68" s="106"/>
      <x:c r="V68" s="106"/>
      <x:c r="W68" s="106"/>
      <x:c r="X68" s="106"/>
      <x:c r="Y68" s="106"/>
      <x:c r="Z68" s="106"/>
    </x:row>
    <x:row r="69">
      <x:c r="A69" s="106"/>
      <x:c r="B69" s="106"/>
      <x:c r="C69" s="106"/>
      <x:c r="D69" s="106"/>
      <x:c r="E69" s="106"/>
      <x:c r="F69" s="106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106"/>
      <x:c r="Q69" s="106"/>
      <x:c r="R69" s="106"/>
      <x:c r="S69" s="106"/>
      <x:c r="T69" s="106"/>
      <x:c r="U69" s="106"/>
      <x:c r="V69" s="106"/>
      <x:c r="W69" s="106"/>
      <x:c r="X69" s="106"/>
      <x:c r="Y69" s="106"/>
      <x:c r="Z69" s="106"/>
    </x:row>
    <x:row r="70">
      <x:c r="A70" s="106"/>
      <x:c r="B70" s="106"/>
      <x:c r="C70" s="106"/>
      <x:c r="D70" s="106"/>
      <x:c r="E70" s="106"/>
      <x:c r="F70" s="106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106"/>
      <x:c r="Q70" s="106"/>
      <x:c r="R70" s="106"/>
      <x:c r="S70" s="106"/>
      <x:c r="T70" s="106"/>
      <x:c r="U70" s="106"/>
      <x:c r="V70" s="106"/>
      <x:c r="W70" s="106"/>
      <x:c r="X70" s="106"/>
      <x:c r="Y70" s="106"/>
      <x:c r="Z70" s="106"/>
    </x:row>
    <x:row r="71">
      <x:c r="A71" s="106"/>
      <x:c r="B71" s="106"/>
      <x:c r="C71" s="106"/>
      <x:c r="D71" s="106"/>
      <x:c r="E71" s="106"/>
      <x:c r="F71" s="106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106"/>
      <x:c r="Q71" s="106"/>
      <x:c r="R71" s="106"/>
      <x:c r="S71" s="106"/>
      <x:c r="T71" s="106"/>
      <x:c r="U71" s="106"/>
      <x:c r="V71" s="106"/>
      <x:c r="W71" s="106"/>
      <x:c r="X71" s="106"/>
      <x:c r="Y71" s="106"/>
      <x:c r="Z71" s="106"/>
    </x:row>
    <x:row r="72">
      <x:c r="A72" s="106"/>
      <x:c r="B72" s="106"/>
      <x:c r="C72" s="106"/>
      <x:c r="D72" s="106"/>
      <x:c r="E72" s="106"/>
      <x:c r="F72" s="106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106"/>
      <x:c r="Q72" s="106"/>
      <x:c r="R72" s="106"/>
      <x:c r="S72" s="106"/>
      <x:c r="T72" s="106"/>
      <x:c r="U72" s="106"/>
      <x:c r="V72" s="106"/>
      <x:c r="W72" s="106"/>
      <x:c r="X72" s="106"/>
      <x:c r="Y72" s="106"/>
      <x:c r="Z72" s="106"/>
    </x:row>
    <x:row r="73">
      <x:c r="A73" s="106"/>
      <x:c r="B73" s="106"/>
      <x:c r="C73" s="106"/>
      <x:c r="D73" s="106"/>
      <x:c r="E73" s="106"/>
      <x:c r="F73" s="106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106"/>
      <x:c r="Q73" s="106"/>
      <x:c r="R73" s="106"/>
      <x:c r="S73" s="106"/>
      <x:c r="T73" s="106"/>
      <x:c r="U73" s="106"/>
      <x:c r="V73" s="106"/>
      <x:c r="W73" s="106"/>
      <x:c r="X73" s="106"/>
      <x:c r="Y73" s="106"/>
      <x:c r="Z73" s="106"/>
    </x:row>
    <x:row r="74">
      <x:c r="A74" s="106"/>
      <x:c r="B74" s="106"/>
      <x:c r="C74" s="106"/>
      <x:c r="D74" s="106"/>
      <x:c r="E74" s="106"/>
      <x:c r="F74" s="106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106"/>
      <x:c r="Q74" s="106"/>
      <x:c r="R74" s="106"/>
      <x:c r="S74" s="106"/>
      <x:c r="T74" s="106"/>
      <x:c r="U74" s="106"/>
      <x:c r="V74" s="106"/>
      <x:c r="W74" s="106"/>
      <x:c r="X74" s="106"/>
      <x:c r="Y74" s="106"/>
      <x:c r="Z74" s="106"/>
    </x:row>
    <x:row r="75">
      <x:c r="A75" s="106"/>
      <x:c r="B75" s="106"/>
      <x:c r="C75" s="106"/>
      <x:c r="D75" s="106"/>
      <x:c r="E75" s="106"/>
      <x:c r="F75" s="106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106"/>
      <x:c r="Q75" s="106"/>
      <x:c r="R75" s="106"/>
      <x:c r="S75" s="106"/>
      <x:c r="T75" s="106"/>
      <x:c r="U75" s="106"/>
      <x:c r="V75" s="106"/>
      <x:c r="W75" s="106"/>
      <x:c r="X75" s="106"/>
      <x:c r="Y75" s="106"/>
      <x:c r="Z75" s="106"/>
    </x:row>
    <x:row r="76">
      <x:c r="A76" s="106"/>
      <x:c r="B76" s="106"/>
      <x:c r="C76" s="106"/>
      <x:c r="D76" s="106"/>
      <x:c r="E76" s="106"/>
      <x:c r="F76" s="106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106"/>
      <x:c r="Q76" s="106"/>
      <x:c r="R76" s="106"/>
      <x:c r="S76" s="106"/>
      <x:c r="T76" s="106"/>
      <x:c r="U76" s="106"/>
      <x:c r="V76" s="106"/>
      <x:c r="W76" s="106"/>
      <x:c r="X76" s="106"/>
      <x:c r="Y76" s="106"/>
      <x:c r="Z76" s="106"/>
    </x:row>
    <x:row r="77">
      <x:c r="A77" s="106"/>
      <x:c r="B77" s="106"/>
      <x:c r="C77" s="106"/>
      <x:c r="D77" s="106"/>
      <x:c r="E77" s="106"/>
      <x:c r="F77" s="106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106"/>
      <x:c r="Q77" s="106"/>
      <x:c r="R77" s="106"/>
      <x:c r="S77" s="106"/>
      <x:c r="T77" s="106"/>
      <x:c r="U77" s="106"/>
      <x:c r="V77" s="106"/>
      <x:c r="W77" s="106"/>
      <x:c r="X77" s="106"/>
      <x:c r="Y77" s="106"/>
      <x:c r="Z77" s="106"/>
    </x:row>
    <x:row r="78">
      <x:c r="A78" s="106"/>
      <x:c r="B78" s="106"/>
      <x:c r="C78" s="106"/>
      <x:c r="D78" s="106"/>
      <x:c r="E78" s="106"/>
      <x:c r="F78" s="106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106"/>
      <x:c r="Q78" s="106"/>
      <x:c r="R78" s="106"/>
      <x:c r="S78" s="106"/>
      <x:c r="T78" s="106"/>
      <x:c r="U78" s="106"/>
      <x:c r="V78" s="106"/>
      <x:c r="W78" s="106"/>
      <x:c r="X78" s="106"/>
      <x:c r="Y78" s="106"/>
      <x:c r="Z78" s="106"/>
    </x:row>
    <x:row r="79">
      <x:c r="A79" s="106"/>
      <x:c r="B79" s="106"/>
      <x:c r="C79" s="106"/>
      <x:c r="D79" s="106"/>
      <x:c r="E79" s="106"/>
      <x:c r="F79" s="106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106"/>
      <x:c r="Q79" s="106"/>
      <x:c r="R79" s="106"/>
      <x:c r="S79" s="106"/>
      <x:c r="T79" s="106"/>
      <x:c r="U79" s="106"/>
      <x:c r="V79" s="106"/>
      <x:c r="W79" s="106"/>
      <x:c r="X79" s="106"/>
      <x:c r="Y79" s="106"/>
      <x:c r="Z79" s="106"/>
    </x:row>
    <x:row r="80">
      <x:c r="A80" s="106"/>
      <x:c r="B80" s="106"/>
      <x:c r="C80" s="106"/>
      <x:c r="D80" s="106"/>
      <x:c r="E80" s="106"/>
      <x:c r="F80" s="106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106"/>
      <x:c r="Q80" s="106"/>
      <x:c r="R80" s="106"/>
      <x:c r="S80" s="106"/>
      <x:c r="T80" s="106"/>
      <x:c r="U80" s="106"/>
      <x:c r="V80" s="106"/>
      <x:c r="W80" s="106"/>
      <x:c r="X80" s="106"/>
      <x:c r="Y80" s="106"/>
      <x:c r="Z80" s="106"/>
    </x:row>
    <x:row r="81">
      <x:c r="A81" s="106"/>
      <x:c r="B81" s="106"/>
      <x:c r="C81" s="106"/>
      <x:c r="D81" s="106"/>
      <x:c r="E81" s="106"/>
      <x:c r="F81" s="106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106"/>
      <x:c r="Q81" s="106"/>
      <x:c r="R81" s="106"/>
      <x:c r="S81" s="106"/>
      <x:c r="T81" s="106"/>
      <x:c r="U81" s="106"/>
      <x:c r="V81" s="106"/>
      <x:c r="W81" s="106"/>
      <x:c r="X81" s="106"/>
      <x:c r="Y81" s="106"/>
      <x:c r="Z81" s="106"/>
    </x:row>
    <x:row r="82">
      <x:c r="A82" s="106"/>
      <x:c r="B82" s="106"/>
      <x:c r="C82" s="106"/>
      <x:c r="D82" s="106"/>
      <x:c r="E82" s="106"/>
      <x:c r="F82" s="106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106"/>
      <x:c r="Q82" s="106"/>
      <x:c r="R82" s="106"/>
      <x:c r="S82" s="106"/>
      <x:c r="T82" s="106"/>
      <x:c r="U82" s="106"/>
      <x:c r="V82" s="106"/>
      <x:c r="W82" s="106"/>
      <x:c r="X82" s="106"/>
      <x:c r="Y82" s="106"/>
      <x:c r="Z82" s="106"/>
    </x:row>
    <x:row r="83">
      <x:c r="A83" s="106"/>
      <x:c r="B83" s="106"/>
      <x:c r="C83" s="106"/>
      <x:c r="D83" s="106"/>
      <x:c r="E83" s="106"/>
      <x:c r="F83" s="106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106"/>
      <x:c r="Q83" s="106"/>
      <x:c r="R83" s="106"/>
      <x:c r="S83" s="106"/>
      <x:c r="T83" s="106"/>
      <x:c r="U83" s="106"/>
      <x:c r="V83" s="106"/>
      <x:c r="W83" s="106"/>
      <x:c r="X83" s="106"/>
      <x:c r="Y83" s="106"/>
      <x:c r="Z83" s="106"/>
    </x:row>
    <x:row r="84">
      <x:c r="A84" s="106"/>
      <x:c r="B84" s="106"/>
      <x:c r="C84" s="106"/>
      <x:c r="D84" s="106"/>
      <x:c r="E84" s="106"/>
      <x:c r="F84" s="106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106"/>
      <x:c r="Q84" s="106"/>
      <x:c r="R84" s="106"/>
      <x:c r="S84" s="106"/>
      <x:c r="T84" s="106"/>
      <x:c r="U84" s="106"/>
      <x:c r="V84" s="106"/>
      <x:c r="W84" s="106"/>
      <x:c r="X84" s="106"/>
      <x:c r="Y84" s="106"/>
      <x:c r="Z84" s="106"/>
    </x:row>
    <x:row r="85">
      <x:c r="A85" s="106"/>
      <x:c r="B85" s="106"/>
      <x:c r="C85" s="106"/>
      <x:c r="D85" s="106"/>
      <x:c r="E85" s="106"/>
      <x:c r="F85" s="106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106"/>
      <x:c r="Q85" s="106"/>
      <x:c r="R85" s="106"/>
      <x:c r="S85" s="106"/>
      <x:c r="T85" s="106"/>
      <x:c r="U85" s="106"/>
      <x:c r="V85" s="106"/>
      <x:c r="W85" s="106"/>
      <x:c r="X85" s="106"/>
      <x:c r="Y85" s="106"/>
      <x:c r="Z85" s="106"/>
    </x:row>
    <x:row r="86">
      <x:c r="A86" s="106"/>
      <x:c r="B86" s="106"/>
      <x:c r="C86" s="106"/>
      <x:c r="D86" s="106"/>
      <x:c r="E86" s="106"/>
      <x:c r="F86" s="106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106"/>
      <x:c r="Q86" s="106"/>
      <x:c r="R86" s="106"/>
      <x:c r="S86" s="106"/>
      <x:c r="T86" s="106"/>
      <x:c r="U86" s="106"/>
      <x:c r="V86" s="106"/>
      <x:c r="W86" s="106"/>
      <x:c r="X86" s="106"/>
      <x:c r="Y86" s="106"/>
      <x:c r="Z86" s="106"/>
    </x:row>
    <x:row r="87">
      <x:c r="A87" s="106"/>
      <x:c r="B87" s="106"/>
      <x:c r="C87" s="106"/>
      <x:c r="D87" s="106"/>
      <x:c r="E87" s="106"/>
      <x:c r="F87" s="106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106"/>
      <x:c r="Q87" s="106"/>
      <x:c r="R87" s="106"/>
      <x:c r="S87" s="106"/>
      <x:c r="T87" s="106"/>
      <x:c r="U87" s="106"/>
      <x:c r="V87" s="106"/>
      <x:c r="W87" s="106"/>
      <x:c r="X87" s="106"/>
      <x:c r="Y87" s="106"/>
      <x:c r="Z87" s="106"/>
    </x:row>
    <x:row r="88">
      <x:c r="A88" s="106"/>
      <x:c r="B88" s="106"/>
      <x:c r="C88" s="106"/>
      <x:c r="D88" s="106"/>
      <x:c r="E88" s="106"/>
      <x:c r="F88" s="106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106"/>
      <x:c r="Q88" s="106"/>
      <x:c r="R88" s="106"/>
      <x:c r="S88" s="106"/>
      <x:c r="T88" s="106"/>
      <x:c r="U88" s="106"/>
      <x:c r="V88" s="106"/>
      <x:c r="W88" s="106"/>
      <x:c r="X88" s="106"/>
      <x:c r="Y88" s="106"/>
      <x:c r="Z88" s="106"/>
    </x:row>
    <x:row r="89">
      <x:c r="A89" s="106"/>
      <x:c r="B89" s="106"/>
      <x:c r="C89" s="106"/>
      <x:c r="D89" s="106"/>
      <x:c r="E89" s="106"/>
      <x:c r="F89" s="106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106"/>
      <x:c r="Q89" s="106"/>
      <x:c r="R89" s="106"/>
      <x:c r="S89" s="106"/>
      <x:c r="T89" s="106"/>
      <x:c r="U89" s="106"/>
      <x:c r="V89" s="106"/>
      <x:c r="W89" s="106"/>
      <x:c r="X89" s="106"/>
      <x:c r="Y89" s="106"/>
      <x:c r="Z89" s="106"/>
    </x:row>
    <x:row r="90">
      <x:c r="A90" s="106"/>
      <x:c r="B90" s="106"/>
      <x:c r="C90" s="106"/>
      <x:c r="D90" s="106"/>
      <x:c r="E90" s="106"/>
      <x:c r="F90" s="106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106"/>
      <x:c r="Q90" s="106"/>
      <x:c r="R90" s="106"/>
      <x:c r="S90" s="106"/>
      <x:c r="T90" s="106"/>
      <x:c r="U90" s="106"/>
      <x:c r="V90" s="106"/>
      <x:c r="W90" s="106"/>
      <x:c r="X90" s="106"/>
      <x:c r="Y90" s="106"/>
      <x:c r="Z90" s="106"/>
    </x:row>
    <x:row r="91">
      <x:c r="A91" s="106"/>
      <x:c r="B91" s="106"/>
      <x:c r="C91" s="106"/>
      <x:c r="D91" s="106"/>
      <x:c r="E91" s="106"/>
      <x:c r="F91" s="106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106"/>
      <x:c r="Q91" s="106"/>
      <x:c r="R91" s="106"/>
      <x:c r="S91" s="106"/>
      <x:c r="T91" s="106"/>
      <x:c r="U91" s="106"/>
      <x:c r="V91" s="106"/>
      <x:c r="W91" s="106"/>
      <x:c r="X91" s="106"/>
      <x:c r="Y91" s="106"/>
      <x:c r="Z91" s="106"/>
    </x:row>
    <x:row r="92">
      <x:c r="A92" s="106"/>
      <x:c r="B92" s="106"/>
      <x:c r="C92" s="106"/>
      <x:c r="D92" s="106"/>
      <x:c r="E92" s="106"/>
      <x:c r="F92" s="106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106"/>
      <x:c r="Q92" s="106"/>
      <x:c r="R92" s="106"/>
      <x:c r="S92" s="106"/>
      <x:c r="T92" s="106"/>
      <x:c r="U92" s="106"/>
      <x:c r="V92" s="106"/>
      <x:c r="W92" s="106"/>
      <x:c r="X92" s="106"/>
      <x:c r="Y92" s="106"/>
      <x:c r="Z92" s="106"/>
    </x:row>
    <x:row r="93">
      <x:c r="A93" s="106"/>
      <x:c r="B93" s="106"/>
      <x:c r="C93" s="106"/>
      <x:c r="D93" s="106"/>
      <x:c r="E93" s="106"/>
      <x:c r="F93" s="106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106"/>
      <x:c r="Q93" s="106"/>
      <x:c r="R93" s="106"/>
      <x:c r="S93" s="106"/>
      <x:c r="T93" s="106"/>
      <x:c r="U93" s="106"/>
      <x:c r="V93" s="106"/>
      <x:c r="W93" s="106"/>
      <x:c r="X93" s="106"/>
      <x:c r="Y93" s="106"/>
      <x:c r="Z93" s="106"/>
    </x:row>
    <x:row r="94">
      <x:c r="A94" s="106"/>
      <x:c r="B94" s="106"/>
      <x:c r="C94" s="106"/>
      <x:c r="D94" s="106"/>
      <x:c r="E94" s="106"/>
      <x:c r="F94" s="106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106"/>
      <x:c r="Q94" s="106"/>
      <x:c r="R94" s="106"/>
      <x:c r="S94" s="106"/>
      <x:c r="T94" s="106"/>
      <x:c r="U94" s="106"/>
      <x:c r="V94" s="106"/>
      <x:c r="W94" s="106"/>
      <x:c r="X94" s="106"/>
      <x:c r="Y94" s="106"/>
      <x:c r="Z94" s="106"/>
    </x:row>
    <x:row r="95">
      <x:c r="A95" s="106"/>
      <x:c r="B95" s="106"/>
      <x:c r="C95" s="106"/>
      <x:c r="D95" s="106"/>
      <x:c r="E95" s="106"/>
      <x:c r="F95" s="106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106"/>
      <x:c r="Q95" s="106"/>
      <x:c r="R95" s="106"/>
      <x:c r="S95" s="106"/>
      <x:c r="T95" s="106"/>
      <x:c r="U95" s="106"/>
      <x:c r="V95" s="106"/>
      <x:c r="W95" s="106"/>
      <x:c r="X95" s="106"/>
      <x:c r="Y95" s="106"/>
      <x:c r="Z95" s="106"/>
    </x:row>
    <x:row r="96">
      <x:c r="A96" s="106"/>
      <x:c r="B96" s="106"/>
      <x:c r="C96" s="106"/>
      <x:c r="D96" s="106"/>
      <x:c r="E96" s="106"/>
      <x:c r="F96" s="106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106"/>
      <x:c r="Q96" s="106"/>
      <x:c r="R96" s="106"/>
      <x:c r="S96" s="106"/>
      <x:c r="T96" s="106"/>
      <x:c r="U96" s="106"/>
      <x:c r="V96" s="106"/>
      <x:c r="W96" s="106"/>
      <x:c r="X96" s="106"/>
      <x:c r="Y96" s="106"/>
      <x:c r="Z96" s="106"/>
    </x:row>
    <x:row r="97">
      <x:c r="A97" s="106"/>
      <x:c r="B97" s="106"/>
      <x:c r="C97" s="106"/>
      <x:c r="D97" s="106"/>
      <x:c r="E97" s="106"/>
      <x:c r="F97" s="106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106"/>
      <x:c r="Q97" s="106"/>
      <x:c r="R97" s="106"/>
      <x:c r="S97" s="106"/>
      <x:c r="T97" s="106"/>
      <x:c r="U97" s="106"/>
      <x:c r="V97" s="106"/>
      <x:c r="W97" s="106"/>
      <x:c r="X97" s="106"/>
      <x:c r="Y97" s="106"/>
      <x:c r="Z97" s="106"/>
    </x:row>
    <x:row r="98">
      <x:c r="A98" s="106"/>
      <x:c r="B98" s="106"/>
      <x:c r="C98" s="106"/>
      <x:c r="D98" s="106"/>
      <x:c r="E98" s="106"/>
      <x:c r="F98" s="106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106"/>
      <x:c r="Q98" s="106"/>
      <x:c r="R98" s="106"/>
      <x:c r="S98" s="106"/>
      <x:c r="T98" s="106"/>
      <x:c r="U98" s="106"/>
      <x:c r="V98" s="106"/>
      <x:c r="W98" s="106"/>
      <x:c r="X98" s="106"/>
      <x:c r="Y98" s="106"/>
      <x:c r="Z98" s="106"/>
    </x:row>
    <x:row r="99">
      <x:c r="A99" s="106"/>
      <x:c r="B99" s="106"/>
      <x:c r="C99" s="106"/>
      <x:c r="D99" s="106"/>
      <x:c r="E99" s="106"/>
      <x:c r="F99" s="106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106"/>
      <x:c r="Q99" s="106"/>
      <x:c r="R99" s="106"/>
      <x:c r="S99" s="106"/>
      <x:c r="T99" s="106"/>
      <x:c r="U99" s="106"/>
      <x:c r="V99" s="106"/>
      <x:c r="W99" s="106"/>
      <x:c r="X99" s="106"/>
      <x:c r="Y99" s="106"/>
      <x:c r="Z99" s="106"/>
    </x:row>
    <x:row r="100">
      <x:c r="A100" s="106"/>
      <x:c r="B100" s="106"/>
      <x:c r="C100" s="106"/>
      <x:c r="D100" s="106"/>
      <x:c r="E100" s="106"/>
      <x:c r="F100" s="106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106"/>
      <x:c r="Q100" s="106"/>
      <x:c r="R100" s="106"/>
      <x:c r="S100" s="106"/>
      <x:c r="T100" s="106"/>
      <x:c r="U100" s="106"/>
      <x:c r="V100" s="106"/>
      <x:c r="W100" s="106"/>
      <x:c r="X100" s="106"/>
      <x:c r="Y100" s="106"/>
      <x:c r="Z100" s="106"/>
    </x:row>
  </x:sheetData>
  <x:mergeCells>
    <x:mergeCell ref="A1:J1"/>
    <x:mergeCell ref="A2:J2"/>
  </x:mergeCells>
  <x:conditionalFormatting sqref="J5:J9">
    <x:cfRule type="expression" dxfId="5" priority="1">
      <x:formula>J5="Validated"</x:formula>
    </x:cfRule>
    <x:cfRule type="expression" dxfId="6" priority="2">
      <x:formula>J5="Stopped / redesigned"</x:formula>
    </x:cfRule>
  </x:conditionalFormatting>
  <x:dataValidations count="1">
    <x:dataValidation type="list" sqref="J5:J9">
      <x:formula1>"Not started,In progress,Validated,Stopped / redesigned"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27" hidden="0" customWidth="1"/>
    <x:col min="5" max="5" width="5" hidden="0" customWidth="1"/>
    <x:col min="6" max="6" width="22" hidden="0" customWidth="1"/>
    <x:col min="7" max="7" width="18" hidden="0" customWidth="1"/>
    <x:col min="8" max="8" width="24" hidden="0" customWidth="1"/>
  </x:cols>
  <x:sheetData>
    <x:row r="1" ht="30" customHeight="1">
      <x:c r="A1" s="117" t="str">
        <x:v>08. Executive Decision Summary</x:v>
      </x:c>
      <x:c r="B1" s="117"/>
      <x:c r="C1" s="117"/>
      <x:c r="D1" s="117"/>
      <x:c r="E1" s="117"/>
      <x:c r="F1" s="117"/>
      <x:c r="G1" s="117"/>
      <x:c r="H1" s="117"/>
      <x:c r="I1" s="106"/>
      <x:c r="J1" s="106"/>
      <x:c r="K1" s="106"/>
      <x:c r="L1" s="106"/>
      <x:c r="M1" s="106"/>
      <x:c r="N1" s="106"/>
      <x:c r="O1" s="106"/>
      <x:c r="P1" s="106"/>
      <x:c r="Q1" s="106"/>
      <x:c r="R1" s="106"/>
      <x:c r="S1" s="106"/>
      <x:c r="T1" s="106"/>
      <x:c r="U1" s="106"/>
      <x:c r="V1" s="106"/>
      <x:c r="W1" s="106"/>
      <x:c r="X1" s="106"/>
      <x:c r="Y1" s="106"/>
      <x:c r="Z1" s="106"/>
    </x:row>
    <x:row r="2" ht="28" customHeight="1">
      <x:c r="A2" s="107" t="str">
        <x:v>Decision-oriented output from the supporting model. Synthetic work sample - not realised business results.</x:v>
      </x:c>
      <x:c r="B2" s="107"/>
      <x:c r="C2" s="107"/>
      <x:c r="D2" s="107"/>
      <x:c r="E2" s="107"/>
      <x:c r="F2" s="107"/>
      <x:c r="G2" s="107"/>
      <x:c r="H2" s="107"/>
      <x:c r="I2" s="106"/>
      <x:c r="J2" s="106"/>
      <x:c r="K2" s="106"/>
      <x:c r="L2" s="106"/>
      <x:c r="M2" s="106"/>
      <x:c r="N2" s="106"/>
      <x:c r="O2" s="106"/>
      <x:c r="P2" s="106"/>
      <x:c r="Q2" s="106"/>
      <x:c r="R2" s="106"/>
      <x:c r="S2" s="106"/>
      <x:c r="T2" s="106"/>
      <x:c r="U2" s="106"/>
      <x:c r="V2" s="106"/>
      <x:c r="W2" s="106"/>
      <x:c r="X2" s="106"/>
      <x:c r="Y2" s="106"/>
      <x:c r="Z2" s="106"/>
    </x:row>
    <x:row r="3">
      <x:c r="A3" s="106"/>
      <x:c r="B3" s="106"/>
      <x:c r="C3" s="106"/>
      <x:c r="D3" s="106"/>
      <x:c r="E3" s="106"/>
      <x:c r="F3" s="106"/>
      <x:c r="G3" s="106"/>
      <x:c r="H3" s="106"/>
      <x:c r="I3" s="106"/>
      <x:c r="J3" s="106"/>
      <x:c r="K3" s="106"/>
      <x:c r="L3" s="106"/>
      <x:c r="M3" s="106"/>
      <x:c r="N3" s="106"/>
      <x:c r="O3" s="106"/>
      <x:c r="P3" s="106"/>
      <x:c r="Q3" s="106"/>
      <x:c r="R3" s="106"/>
      <x:c r="S3" s="106"/>
      <x:c r="T3" s="106"/>
      <x:c r="U3" s="106"/>
      <x:c r="V3" s="106"/>
      <x:c r="W3" s="106"/>
      <x:c r="X3" s="106"/>
      <x:c r="Y3" s="106"/>
      <x:c r="Z3" s="106"/>
    </x:row>
    <x:row r="4">
      <x:c r="A4" s="108" t="str">
        <x:v>Business question: Why is near-budget revenue not converting into planned GOP?</x:v>
      </x:c>
      <x:c r="B4" s="108"/>
      <x:c r="C4" s="108"/>
      <x:c r="D4" s="108"/>
      <x:c r="E4" s="108"/>
      <x:c r="F4" s="108"/>
      <x:c r="G4" s="108"/>
      <x:c r="H4" s="108"/>
      <x:c r="I4" s="106"/>
      <x:c r="J4" s="106"/>
      <x:c r="K4" s="106"/>
      <x:c r="L4" s="106"/>
      <x:c r="M4" s="106"/>
      <x:c r="N4" s="106"/>
      <x:c r="O4" s="106"/>
      <x:c r="P4" s="106"/>
      <x:c r="Q4" s="106"/>
      <x:c r="R4" s="106"/>
      <x:c r="S4" s="106"/>
      <x:c r="T4" s="106"/>
      <x:c r="U4" s="106"/>
      <x:c r="V4" s="106"/>
      <x:c r="W4" s="106"/>
      <x:c r="X4" s="106"/>
      <x:c r="Y4" s="106"/>
      <x:c r="Z4" s="106"/>
    </x:row>
    <x:row r="5" ht="25" customHeight="1">
      <x:c r="A5" s="153" t="str">
        <x:v>Diagnosis: revenue is broadly on plan, but labour and F&amp;B cost pressure are eroding margin. A staged Moderate pilot is preferred because it improves economics while keeping guest satisfaction at or above the 88 guardrail.</x:v>
      </x:c>
      <x:c r="B5" s="153"/>
      <x:c r="C5" s="153"/>
      <x:c r="D5" s="153"/>
      <x:c r="E5" s="153"/>
      <x:c r="F5" s="153"/>
      <x:c r="G5" s="153"/>
      <x:c r="H5" s="153"/>
      <x:c r="I5" s="106"/>
      <x:c r="J5" s="106"/>
      <x:c r="K5" s="106"/>
      <x:c r="L5" s="106"/>
      <x:c r="M5" s="106"/>
      <x:c r="N5" s="106"/>
      <x:c r="O5" s="106"/>
      <x:c r="P5" s="106"/>
      <x:c r="Q5" s="106"/>
      <x:c r="R5" s="106"/>
      <x:c r="S5" s="106"/>
      <x:c r="T5" s="106"/>
      <x:c r="U5" s="106"/>
      <x:c r="V5" s="106"/>
      <x:c r="W5" s="106"/>
      <x:c r="X5" s="106"/>
      <x:c r="Y5" s="106"/>
      <x:c r="Z5" s="106"/>
    </x:row>
    <x:row r="6" ht="25" customHeight="1">
      <x:c r="A6" s="153"/>
      <x:c r="B6" s="153"/>
      <x:c r="C6" s="153"/>
      <x:c r="D6" s="153"/>
      <x:c r="E6" s="153"/>
      <x:c r="F6" s="153"/>
      <x:c r="G6" s="153"/>
      <x:c r="H6" s="153"/>
      <x:c r="I6" s="106"/>
      <x:c r="J6" s="106"/>
      <x:c r="K6" s="106"/>
      <x:c r="L6" s="106"/>
      <x:c r="M6" s="106"/>
      <x:c r="N6" s="106"/>
      <x:c r="O6" s="106"/>
      <x:c r="P6" s="106"/>
      <x:c r="Q6" s="106"/>
      <x:c r="R6" s="106"/>
      <x:c r="S6" s="106"/>
      <x:c r="T6" s="106"/>
      <x:c r="U6" s="106"/>
      <x:c r="V6" s="106"/>
      <x:c r="W6" s="106"/>
      <x:c r="X6" s="106"/>
      <x:c r="Y6" s="106"/>
      <x:c r="Z6" s="106"/>
    </x:row>
    <x:row r="7">
      <x:c r="A7" s="106"/>
      <x:c r="B7" s="106"/>
      <x:c r="C7" s="106"/>
      <x:c r="D7" s="106"/>
      <x:c r="E7" s="106"/>
      <x:c r="F7" s="106"/>
      <x:c r="G7" s="106"/>
      <x:c r="H7" s="106"/>
      <x:c r="I7" s="106"/>
      <x:c r="J7" s="106"/>
      <x:c r="K7" s="106"/>
      <x:c r="L7" s="106"/>
      <x:c r="M7" s="106"/>
      <x:c r="N7" s="106"/>
      <x:c r="O7" s="106"/>
      <x:c r="P7" s="106"/>
      <x:c r="Q7" s="106"/>
      <x:c r="R7" s="106"/>
      <x:c r="S7" s="106"/>
      <x:c r="T7" s="106"/>
      <x:c r="U7" s="106"/>
      <x:c r="V7" s="106"/>
      <x:c r="W7" s="106"/>
      <x:c r="X7" s="106"/>
      <x:c r="Y7" s="106"/>
      <x:c r="Z7" s="106"/>
    </x:row>
    <x:row r="8">
      <x:c r="A8" s="154" t="str">
        <x:v>Revenue vs Budget</x:v>
      </x:c>
      <x:c r="B8" s="154"/>
      <x:c r="C8" s="154" t="str">
        <x:v>GOP vs Budget</x:v>
      </x:c>
      <x:c r="D8" s="154"/>
      <x:c r="E8" s="154" t="str">
        <x:v>GOP Margin</x:v>
      </x:c>
      <x:c r="F8" s="154"/>
      <x:c r="G8" s="154" t="str">
        <x:v>Guest Satisfaction</x:v>
      </x:c>
      <x:c r="H8" s="154"/>
      <x:c r="I8" s="106"/>
      <x:c r="J8" s="106"/>
      <x:c r="K8" s="106"/>
      <x:c r="L8" s="106"/>
      <x:c r="M8" s="106"/>
      <x:c r="N8" s="106"/>
      <x:c r="O8" s="106"/>
      <x:c r="P8" s="106"/>
      <x:c r="Q8" s="106"/>
      <x:c r="R8" s="106"/>
      <x:c r="S8" s="106"/>
      <x:c r="T8" s="106"/>
      <x:c r="U8" s="106"/>
      <x:c r="V8" s="106"/>
      <x:c r="W8" s="106"/>
      <x:c r="X8" s="106"/>
      <x:c r="Y8" s="106"/>
      <x:c r="Z8" s="106"/>
    </x:row>
    <x:row r="9">
      <x:c r="A9" s="155" t="n">
        <x:f>'02_PnL_Diagnostic'!E8</x:f>
        <x:v>-60000</x:v>
      </x:c>
      <x:c r="B9" s="155"/>
      <x:c r="C9" s="155" t="n">
        <x:f>'02_PnL_Diagnostic'!E18</x:f>
        <x:v>-1500000</x:v>
      </x:c>
      <x:c r="D9" s="155"/>
      <x:c r="E9" s="156" t="n">
        <x:f>'02_PnL_Diagnostic'!D19</x:f>
        <x:v>0.33285612025769507</x:v>
      </x:c>
      <x:c r="F9" s="156"/>
      <x:c r="G9" s="157" t="n">
        <x:f>'01_Inputs'!D26</x:f>
        <x:v>88</x:v>
      </x:c>
      <x:c r="H9" s="157"/>
      <x:c r="I9" s="106"/>
      <x:c r="J9" s="106"/>
      <x:c r="K9" s="106"/>
      <x:c r="L9" s="106"/>
      <x:c r="M9" s="106"/>
      <x:c r="N9" s="106"/>
      <x:c r="O9" s="106"/>
      <x:c r="P9" s="106"/>
      <x:c r="Q9" s="106"/>
      <x:c r="R9" s="106"/>
      <x:c r="S9" s="106"/>
      <x:c r="T9" s="106"/>
      <x:c r="U9" s="106"/>
      <x:c r="V9" s="106"/>
      <x:c r="W9" s="106"/>
      <x:c r="X9" s="106"/>
      <x:c r="Y9" s="106"/>
      <x:c r="Z9" s="106"/>
    </x:row>
    <x:row r="10">
      <x:c r="A10" s="155"/>
      <x:c r="B10" s="155"/>
      <x:c r="C10" s="155"/>
      <x:c r="D10" s="155"/>
      <x:c r="E10" s="156"/>
      <x:c r="F10" s="156"/>
      <x:c r="G10" s="157"/>
      <x:c r="H10" s="157"/>
      <x:c r="I10" s="106"/>
      <x:c r="J10" s="106"/>
      <x:c r="K10" s="106"/>
      <x:c r="L10" s="106"/>
      <x:c r="M10" s="106"/>
      <x:c r="N10" s="106"/>
      <x:c r="O10" s="106"/>
      <x:c r="P10" s="106"/>
      <x:c r="Q10" s="106"/>
      <x:c r="R10" s="106"/>
      <x:c r="S10" s="106"/>
      <x:c r="T10" s="106"/>
      <x:c r="U10" s="106"/>
      <x:c r="V10" s="106"/>
      <x:c r="W10" s="106"/>
      <x:c r="X10" s="106"/>
      <x:c r="Y10" s="106"/>
      <x:c r="Z10" s="106"/>
    </x:row>
    <x:row r="11">
      <x:c r="A11" s="106"/>
      <x:c r="B11" s="106"/>
      <x:c r="C11" s="106"/>
      <x:c r="D11" s="106"/>
      <x:c r="E11" s="106"/>
      <x:c r="F11" s="106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106"/>
      <x:c r="Q11" s="106"/>
      <x:c r="R11" s="106"/>
      <x:c r="S11" s="106"/>
      <x:c r="T11" s="106"/>
      <x:c r="U11" s="106"/>
      <x:c r="V11" s="106"/>
      <x:c r="W11" s="106"/>
      <x:c r="X11" s="106"/>
      <x:c r="Y11" s="106"/>
      <x:c r="Z11" s="106"/>
    </x:row>
    <x:row r="12">
      <x:c r="A12" s="106"/>
      <x:c r="B12" s="106"/>
      <x:c r="C12" s="106"/>
      <x:c r="D12" s="106"/>
      <x:c r="E12" s="106"/>
      <x:c r="F12" s="106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106"/>
      <x:c r="Q12" s="106"/>
      <x:c r="R12" s="106"/>
      <x:c r="S12" s="106"/>
      <x:c r="T12" s="106"/>
      <x:c r="U12" s="106"/>
      <x:c r="V12" s="106"/>
      <x:c r="W12" s="106"/>
      <x:c r="X12" s="106"/>
      <x:c r="Y12" s="106"/>
      <x:c r="Z12" s="106"/>
    </x:row>
    <x:row r="13">
      <x:c r="A13" s="108" t="str">
        <x:v>Primary variance drivers</x:v>
      </x:c>
      <x:c r="B13" s="108"/>
      <x:c r="C13" s="108"/>
      <x:c r="D13" s="108"/>
      <x:c r="E13" s="106"/>
      <x:c r="F13" s="108" t="str">
        <x:v>Scenario business case</x:v>
      </x:c>
      <x:c r="G13" s="108"/>
      <x:c r="H13" s="108"/>
      <x:c r="I13" s="106"/>
      <x:c r="J13" s="106"/>
      <x:c r="K13" s="106"/>
      <x:c r="L13" s="106"/>
      <x:c r="M13" s="106"/>
      <x:c r="N13" s="106"/>
      <x:c r="O13" s="106"/>
      <x:c r="P13" s="106"/>
      <x:c r="Q13" s="106"/>
      <x:c r="R13" s="106"/>
      <x:c r="S13" s="106"/>
      <x:c r="T13" s="106"/>
      <x:c r="U13" s="106"/>
      <x:c r="V13" s="106"/>
      <x:c r="W13" s="106"/>
      <x:c r="X13" s="106"/>
      <x:c r="Y13" s="106"/>
      <x:c r="Z13" s="106"/>
    </x:row>
    <x:row r="14" ht="26" customHeight="1">
      <x:c r="A14" s="110" t="str">
        <x:v>Driver</x:v>
      </x:c>
      <x:c r="B14" s="110" t="str">
        <x:v>Impact F/(U) (HK$)</x:v>
      </x:c>
      <x:c r="C14" s="110" t="str">
        <x:v>Evidence</x:v>
      </x:c>
      <x:c r="D14" s="110" t="str">
        <x:v>Management read-through</x:v>
      </x:c>
      <x:c r="E14" s="106"/>
      <x:c r="F14" s="110" t="str">
        <x:v>Metric</x:v>
      </x:c>
      <x:c r="G14" s="110" t="str">
        <x:v>Moderate</x:v>
      </x:c>
      <x:c r="H14" s="110" t="str">
        <x:v>Read-through</x:v>
      </x:c>
      <x:c r="I14" s="106"/>
      <x:c r="J14" s="106"/>
      <x:c r="K14" s="106"/>
      <x:c r="L14" s="106"/>
      <x:c r="M14" s="106"/>
      <x:c r="N14" s="106"/>
      <x:c r="O14" s="106"/>
      <x:c r="P14" s="106"/>
      <x:c r="Q14" s="106"/>
      <x:c r="R14" s="106"/>
      <x:c r="S14" s="106"/>
      <x:c r="T14" s="106"/>
      <x:c r="U14" s="106"/>
      <x:c r="V14" s="106"/>
      <x:c r="W14" s="106"/>
      <x:c r="X14" s="106"/>
      <x:c r="Y14" s="106"/>
      <x:c r="Z14" s="106"/>
    </x:row>
    <x:row r="15" ht="26" customHeight="1">
      <x:c r="A15" s="106" t="str">
        <x:v>Labour cost</x:v>
      </x:c>
      <x:c r="B15" s="136" t="n">
        <x:f>'02_PnL_Diagnostic'!E13</x:f>
        <x:v>-840000</x:v>
      </x:c>
      <x:c r="C15" s="106" t="str">
        <x:v>Labour bridge</x:v>
      </x:c>
      <x:c r="D15" s="106" t="str">
        <x:v>Agency dependency + excess hours</x:v>
      </x:c>
      <x:c r="E15" s="106"/>
      <x:c r="F15" s="106" t="str">
        <x:v>Risk-adjusted gross</x:v>
      </x:c>
      <x:c r="G15" s="136" t="n">
        <x:f>'06_Business_Case'!D8</x:f>
        <x:v>3756960</x:v>
      </x:c>
      <x:c r="H15" s="106" t="str">
        <x:v>Scoped + risk-adjusted</x:v>
      </x:c>
      <x:c r="I15" s="106"/>
      <x:c r="J15" s="106"/>
      <x:c r="K15" s="106"/>
      <x:c r="L15" s="106"/>
      <x:c r="M15" s="106"/>
      <x:c r="N15" s="106"/>
      <x:c r="O15" s="106"/>
      <x:c r="P15" s="106"/>
      <x:c r="Q15" s="106"/>
      <x:c r="R15" s="106"/>
      <x:c r="S15" s="106"/>
      <x:c r="T15" s="106"/>
      <x:c r="U15" s="106"/>
      <x:c r="V15" s="106"/>
      <x:c r="W15" s="106"/>
      <x:c r="X15" s="106"/>
      <x:c r="Y15" s="106"/>
      <x:c r="Z15" s="106"/>
    </x:row>
    <x:row r="16" ht="26" customHeight="1">
      <x:c r="A16" s="106" t="str">
        <x:v>F&amp;B cost</x:v>
      </x:c>
      <x:c r="B16" s="136" t="n">
        <x:f>'02_PnL_Diagnostic'!E14</x:f>
        <x:v>-380000</x:v>
      </x:c>
      <x:c r="C16" s="106" t="str">
        <x:v>F&amp;B cost bridge</x:v>
      </x:c>
      <x:c r="D16" s="106" t="str">
        <x:v>Cost % above budget</x:v>
      </x:c>
      <x:c r="E16" s="106"/>
      <x:c r="F16" s="106" t="str">
        <x:v>First-year total cost</x:v>
      </x:c>
      <x:c r="G16" s="136" t="n">
        <x:f>'06_Business_Case'!D11</x:f>
        <x:v>2200000</x:v>
      </x:c>
      <x:c r="H16" s="106" t="str">
        <x:v>Implementation + recurring</x:v>
      </x:c>
      <x:c r="I16" s="106"/>
      <x:c r="J16" s="106"/>
      <x:c r="K16" s="106"/>
      <x:c r="L16" s="106"/>
      <x:c r="M16" s="106"/>
      <x:c r="N16" s="106"/>
      <x:c r="O16" s="106"/>
      <x:c r="P16" s="106"/>
      <x:c r="Q16" s="106"/>
      <x:c r="R16" s="106"/>
      <x:c r="S16" s="106"/>
      <x:c r="T16" s="106"/>
      <x:c r="U16" s="106"/>
      <x:c r="V16" s="106"/>
      <x:c r="W16" s="106"/>
      <x:c r="X16" s="106"/>
      <x:c r="Y16" s="106"/>
      <x:c r="Z16" s="106"/>
    </x:row>
    <x:row r="17" ht="26" customHeight="1">
      <x:c r="A17" s="106" t="str">
        <x:v>Other operating costs</x:v>
      </x:c>
      <x:c r="B17" s="136" t="n">
        <x:f>'02_PnL_Diagnostic'!E15+'02_PnL_Diagnostic'!E16</x:f>
        <x:v>-220000</x:v>
      </x:c>
      <x:c r="C17" s="106" t="str">
        <x:v>P&amp;L diagnostic</x:v>
      </x:c>
      <x:c r="D17" s="106" t="str">
        <x:v>Secondary cost pressure</x:v>
      </x:c>
      <x:c r="E17" s="106"/>
      <x:c r="F17" s="106" t="str">
        <x:v>First-year net</x:v>
      </x:c>
      <x:c r="G17" s="136" t="n">
        <x:f>'06_Business_Case'!D12</x:f>
        <x:v>1556960</x:v>
      </x:c>
      <x:c r="H17" s="106" t="str">
        <x:v>After first-year costs</x:v>
      </x:c>
      <x:c r="I17" s="106"/>
      <x:c r="J17" s="106"/>
      <x:c r="K17" s="106"/>
      <x:c r="L17" s="106"/>
      <x:c r="M17" s="106"/>
      <x:c r="N17" s="106"/>
      <x:c r="O17" s="106"/>
      <x:c r="P17" s="106"/>
      <x:c r="Q17" s="106"/>
      <x:c r="R17" s="106"/>
      <x:c r="S17" s="106"/>
      <x:c r="T17" s="106"/>
      <x:c r="U17" s="106"/>
      <x:c r="V17" s="106"/>
      <x:c r="W17" s="106"/>
      <x:c r="X17" s="106"/>
      <x:c r="Y17" s="106"/>
      <x:c r="Z17" s="106"/>
    </x:row>
    <x:row r="18" ht="26" customHeight="1">
      <x:c r="A18" s="106" t="str">
        <x:v>Total revenue</x:v>
      </x:c>
      <x:c r="B18" s="136" t="n">
        <x:f>'02_PnL_Diagnostic'!E8</x:f>
        <x:v>-60000</x:v>
      </x:c>
      <x:c r="C18" s="106" t="str">
        <x:v>PVM + P&amp;L</x:v>
      </x:c>
      <x:c r="D18" s="106" t="str">
        <x:v>Rooms rate/mix pressure offset by F&amp;B</x:v>
      </x:c>
      <x:c r="E18" s="106"/>
      <x:c r="F18" s="106" t="str">
        <x:v>First-year ROI</x:v>
      </x:c>
      <x:c r="G18" s="137" t="n">
        <x:f>'06_Business_Case'!D13</x:f>
        <x:v>0.707709090909091</x:v>
      </x:c>
      <x:c r="H18" s="106" t="str">
        <x:v>Risk-adjusted</x:v>
      </x:c>
      <x:c r="I18" s="106"/>
      <x:c r="J18" s="106"/>
      <x:c r="K18" s="106"/>
      <x:c r="L18" s="106"/>
      <x:c r="M18" s="106"/>
      <x:c r="N18" s="106"/>
      <x:c r="O18" s="106"/>
      <x:c r="P18" s="106"/>
      <x:c r="Q18" s="106"/>
      <x:c r="R18" s="106"/>
      <x:c r="S18" s="106"/>
      <x:c r="T18" s="106"/>
      <x:c r="U18" s="106"/>
      <x:c r="V18" s="106"/>
      <x:c r="W18" s="106"/>
      <x:c r="X18" s="106"/>
      <x:c r="Y18" s="106"/>
      <x:c r="Z18" s="106"/>
    </x:row>
    <x:row r="19" ht="26" customHeight="1">
      <x:c r="A19" s="106"/>
      <x:c r="B19" s="106"/>
      <x:c r="C19" s="106"/>
      <x:c r="D19" s="106"/>
      <x:c r="E19" s="106"/>
      <x:c r="F19" s="106" t="str">
        <x:v>Payback</x:v>
      </x:c>
      <x:c r="G19" s="158" t="n">
        <x:f>'06_Business_Case'!D14</x:f>
        <x:v>7.026957966015075</x:v>
      </x:c>
      <x:c r="H19" s="106" t="str">
        <x:v>Months</x:v>
      </x:c>
      <x:c r="I19" s="106"/>
      <x:c r="J19" s="106"/>
      <x:c r="K19" s="106"/>
      <x:c r="L19" s="106"/>
      <x:c r="M19" s="106"/>
      <x:c r="N19" s="106"/>
      <x:c r="O19" s="106"/>
      <x:c r="P19" s="106"/>
      <x:c r="Q19" s="106"/>
      <x:c r="R19" s="106"/>
      <x:c r="S19" s="106"/>
      <x:c r="T19" s="106"/>
      <x:c r="U19" s="106"/>
      <x:c r="V19" s="106"/>
      <x:c r="W19" s="106"/>
      <x:c r="X19" s="106"/>
      <x:c r="Y19" s="106"/>
      <x:c r="Z19" s="106"/>
    </x:row>
    <x:row r="20" ht="26" customHeight="1">
      <x:c r="A20" s="106"/>
      <x:c r="B20" s="106"/>
      <x:c r="C20" s="106"/>
      <x:c r="D20" s="106"/>
      <x:c r="E20" s="106"/>
      <x:c r="F20" s="106" t="str">
        <x:v>Guest guardrail</x:v>
      </x:c>
      <x:c r="G20" s="135" t="str">
        <x:f>'06_Business_Case'!D16</x:f>
        <x:v>PASS</x:v>
      </x:c>
      <x:c r="H20" s="106" t="str">
        <x:v>Must pass</x:v>
      </x:c>
      <x:c r="I20" s="106"/>
      <x:c r="J20" s="106"/>
      <x:c r="K20" s="106"/>
      <x:c r="L20" s="106"/>
      <x:c r="M20" s="106"/>
      <x:c r="N20" s="106"/>
      <x:c r="O20" s="106"/>
      <x:c r="P20" s="106"/>
      <x:c r="Q20" s="106"/>
      <x:c r="R20" s="106"/>
      <x:c r="S20" s="106"/>
      <x:c r="T20" s="106"/>
      <x:c r="U20" s="106"/>
      <x:c r="V20" s="106"/>
      <x:c r="W20" s="106"/>
      <x:c r="X20" s="106"/>
      <x:c r="Y20" s="106"/>
      <x:c r="Z20" s="106"/>
    </x:row>
    <x:row r="21">
      <x:c r="A21" s="106"/>
      <x:c r="B21" s="106"/>
      <x:c r="C21" s="106"/>
      <x:c r="D21" s="106"/>
      <x:c r="E21" s="106"/>
      <x:c r="F21" s="106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106"/>
      <x:c r="Q21" s="106"/>
      <x:c r="R21" s="106"/>
      <x:c r="S21" s="106"/>
      <x:c r="T21" s="106"/>
      <x:c r="U21" s="106"/>
      <x:c r="V21" s="106"/>
      <x:c r="W21" s="106"/>
      <x:c r="X21" s="106"/>
      <x:c r="Y21" s="106"/>
      <x:c r="Z21" s="106"/>
    </x:row>
    <x:row r="22">
      <x:c r="A22" s="108" t="str">
        <x:v>Recommended decision</x:v>
      </x:c>
      <x:c r="B22" s="108"/>
      <x:c r="C22" s="108"/>
      <x:c r="D22" s="108"/>
      <x:c r="E22" s="108"/>
      <x:c r="F22" s="108"/>
      <x:c r="G22" s="108"/>
      <x:c r="H22" s="108"/>
      <x:c r="I22" s="106"/>
      <x:c r="J22" s="106"/>
      <x:c r="K22" s="106"/>
      <x:c r="L22" s="106"/>
      <x:c r="M22" s="106"/>
      <x:c r="N22" s="106"/>
      <x:c r="O22" s="106"/>
      <x:c r="P22" s="106"/>
      <x:c r="Q22" s="106"/>
      <x:c r="R22" s="106"/>
      <x:c r="S22" s="106"/>
      <x:c r="T22" s="106"/>
      <x:c r="U22" s="106"/>
      <x:c r="V22" s="106"/>
      <x:c r="W22" s="106"/>
      <x:c r="X22" s="106"/>
      <x:c r="Y22" s="106"/>
      <x:c r="Z22" s="106"/>
    </x:row>
    <x:row r="23" ht="24" customHeight="1">
      <x:c r="A23" s="159" t="str">
        <x:v>Approve a staged Moderate pilot in selected departments, subject to Finance validation of the baseline and attribution rules. Track labour, F&amp;B cost %, GOP and guest satisfaction weekly/monthly. Stop or redesign if guest satisfaction falls below 88 or if benefits cannot be reconciled to validated drivers.</x:v>
      </x:c>
      <x:c r="B23" s="159"/>
      <x:c r="C23" s="159"/>
      <x:c r="D23" s="159"/>
      <x:c r="E23" s="159"/>
      <x:c r="F23" s="159"/>
      <x:c r="G23" s="159"/>
      <x:c r="H23" s="159"/>
      <x:c r="I23" s="106"/>
      <x:c r="J23" s="106"/>
      <x:c r="K23" s="106"/>
      <x:c r="L23" s="106"/>
      <x:c r="M23" s="106"/>
      <x:c r="N23" s="106"/>
      <x:c r="O23" s="106"/>
      <x:c r="P23" s="106"/>
      <x:c r="Q23" s="106"/>
      <x:c r="R23" s="106"/>
      <x:c r="S23" s="106"/>
      <x:c r="T23" s="106"/>
      <x:c r="U23" s="106"/>
      <x:c r="V23" s="106"/>
      <x:c r="W23" s="106"/>
      <x:c r="X23" s="106"/>
      <x:c r="Y23" s="106"/>
      <x:c r="Z23" s="106"/>
    </x:row>
    <x:row r="24" ht="24" customHeight="1">
      <x:c r="A24" s="159"/>
      <x:c r="B24" s="159"/>
      <x:c r="C24" s="159"/>
      <x:c r="D24" s="159"/>
      <x:c r="E24" s="159"/>
      <x:c r="F24" s="159"/>
      <x:c r="G24" s="159"/>
      <x:c r="H24" s="159"/>
      <x:c r="I24" s="106"/>
      <x:c r="J24" s="106"/>
      <x:c r="K24" s="106"/>
      <x:c r="L24" s="106"/>
      <x:c r="M24" s="106"/>
      <x:c r="N24" s="106"/>
      <x:c r="O24" s="106"/>
      <x:c r="P24" s="106"/>
      <x:c r="Q24" s="106"/>
      <x:c r="R24" s="106"/>
      <x:c r="S24" s="106"/>
      <x:c r="T24" s="106"/>
      <x:c r="U24" s="106"/>
      <x:c r="V24" s="106"/>
      <x:c r="W24" s="106"/>
      <x:c r="X24" s="106"/>
      <x:c r="Y24" s="106"/>
      <x:c r="Z24" s="106"/>
    </x:row>
    <x:row r="25" ht="24" customHeight="1">
      <x:c r="A25" s="159"/>
      <x:c r="B25" s="159"/>
      <x:c r="C25" s="159"/>
      <x:c r="D25" s="159"/>
      <x:c r="E25" s="159"/>
      <x:c r="F25" s="159"/>
      <x:c r="G25" s="159"/>
      <x:c r="H25" s="159"/>
      <x:c r="I25" s="106"/>
      <x:c r="J25" s="106"/>
      <x:c r="K25" s="106"/>
      <x:c r="L25" s="106"/>
      <x:c r="M25" s="106"/>
      <x:c r="N25" s="106"/>
      <x:c r="O25" s="106"/>
      <x:c r="P25" s="106"/>
      <x:c r="Q25" s="106"/>
      <x:c r="R25" s="106"/>
      <x:c r="S25" s="106"/>
      <x:c r="T25" s="106"/>
      <x:c r="U25" s="106"/>
      <x:c r="V25" s="106"/>
      <x:c r="W25" s="106"/>
      <x:c r="X25" s="106"/>
      <x:c r="Y25" s="106"/>
      <x:c r="Z25" s="106"/>
    </x:row>
    <x:row r="26" ht="24" customHeight="1">
      <x:c r="A26" s="159"/>
      <x:c r="B26" s="159"/>
      <x:c r="C26" s="159"/>
      <x:c r="D26" s="159"/>
      <x:c r="E26" s="159"/>
      <x:c r="F26" s="159"/>
      <x:c r="G26" s="159"/>
      <x:c r="H26" s="159"/>
      <x:c r="I26" s="106"/>
      <x:c r="J26" s="106"/>
      <x:c r="K26" s="106"/>
      <x:c r="L26" s="106"/>
      <x:c r="M26" s="106"/>
      <x:c r="N26" s="106"/>
      <x:c r="O26" s="106"/>
      <x:c r="P26" s="106"/>
      <x:c r="Q26" s="106"/>
      <x:c r="R26" s="106"/>
      <x:c r="S26" s="106"/>
      <x:c r="T26" s="106"/>
      <x:c r="U26" s="106"/>
      <x:c r="V26" s="106"/>
      <x:c r="W26" s="106"/>
      <x:c r="X26" s="106"/>
      <x:c r="Y26" s="106"/>
      <x:c r="Z26" s="106"/>
    </x:row>
    <x:row r="27">
      <x:c r="A27" s="106"/>
      <x:c r="B27" s="106"/>
      <x:c r="C27" s="106"/>
      <x:c r="D27" s="106"/>
      <x:c r="E27" s="106"/>
      <x:c r="F27" s="106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106"/>
      <x:c r="Q27" s="106"/>
      <x:c r="R27" s="106"/>
      <x:c r="S27" s="106"/>
      <x:c r="T27" s="106"/>
      <x:c r="U27" s="106"/>
      <x:c r="V27" s="106"/>
      <x:c r="W27" s="106"/>
      <x:c r="X27" s="106"/>
      <x:c r="Y27" s="106"/>
      <x:c r="Z27" s="106"/>
    </x:row>
    <x:row r="28">
      <x:c r="A28" s="107" t="str">
        <x:v>Important: all data, assumptions and financial outputs are synthetic and illustrative. This work sample demonstrates analytical method and governance design; it does not claim realised hotel performance or client results.</x:v>
      </x:c>
      <x:c r="B28" s="107"/>
      <x:c r="C28" s="107"/>
      <x:c r="D28" s="107"/>
      <x:c r="E28" s="107"/>
      <x:c r="F28" s="107"/>
      <x:c r="G28" s="107"/>
      <x:c r="H28" s="107"/>
      <x:c r="I28" s="106"/>
      <x:c r="J28" s="106"/>
      <x:c r="K28" s="106"/>
      <x:c r="L28" s="106"/>
      <x:c r="M28" s="106"/>
      <x:c r="N28" s="106"/>
      <x:c r="O28" s="106"/>
      <x:c r="P28" s="106"/>
      <x:c r="Q28" s="106"/>
      <x:c r="R28" s="106"/>
      <x:c r="S28" s="106"/>
      <x:c r="T28" s="106"/>
      <x:c r="U28" s="106"/>
      <x:c r="V28" s="106"/>
      <x:c r="W28" s="106"/>
      <x:c r="X28" s="106"/>
      <x:c r="Y28" s="106"/>
      <x:c r="Z28" s="106"/>
    </x:row>
    <x:row r="29">
      <x:c r="A29" s="107"/>
      <x:c r="B29" s="107"/>
      <x:c r="C29" s="107"/>
      <x:c r="D29" s="107"/>
      <x:c r="E29" s="107"/>
      <x:c r="F29" s="107"/>
      <x:c r="G29" s="107"/>
      <x:c r="H29" s="107"/>
      <x:c r="I29" s="106"/>
      <x:c r="J29" s="106"/>
      <x:c r="K29" s="106"/>
      <x:c r="L29" s="106"/>
      <x:c r="M29" s="106"/>
      <x:c r="N29" s="106"/>
      <x:c r="O29" s="106"/>
      <x:c r="P29" s="106"/>
      <x:c r="Q29" s="106"/>
      <x:c r="R29" s="106"/>
      <x:c r="S29" s="106"/>
      <x:c r="T29" s="106"/>
      <x:c r="U29" s="106"/>
      <x:c r="V29" s="106"/>
      <x:c r="W29" s="106"/>
      <x:c r="X29" s="106"/>
      <x:c r="Y29" s="106"/>
      <x:c r="Z29" s="106"/>
    </x:row>
    <x:row r="30">
      <x:c r="A30" s="106"/>
      <x:c r="B30" s="106"/>
      <x:c r="C30" s="106"/>
      <x:c r="D30" s="106"/>
      <x:c r="E30" s="106"/>
      <x:c r="F30" s="106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106"/>
      <x:c r="Q30" s="106"/>
      <x:c r="R30" s="106"/>
      <x:c r="S30" s="106"/>
      <x:c r="T30" s="106"/>
      <x:c r="U30" s="106"/>
      <x:c r="V30" s="106"/>
      <x:c r="W30" s="106"/>
      <x:c r="X30" s="106"/>
      <x:c r="Y30" s="106"/>
      <x:c r="Z30" s="106"/>
    </x:row>
    <x:row r="31">
      <x:c r="A31" s="106"/>
      <x:c r="B31" s="106"/>
      <x:c r="C31" s="106"/>
      <x:c r="D31" s="106"/>
      <x:c r="E31" s="106"/>
      <x:c r="F31" s="106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106"/>
      <x:c r="Q31" s="106"/>
      <x:c r="R31" s="106"/>
      <x:c r="S31" s="106"/>
      <x:c r="T31" s="106"/>
      <x:c r="U31" s="106"/>
      <x:c r="V31" s="106"/>
      <x:c r="W31" s="106"/>
      <x:c r="X31" s="106"/>
      <x:c r="Y31" s="106"/>
      <x:c r="Z31" s="106"/>
    </x:row>
    <x:row r="32">
      <x:c r="A32" s="106"/>
      <x:c r="B32" s="106"/>
      <x:c r="C32" s="106"/>
      <x:c r="D32" s="106"/>
      <x:c r="E32" s="106"/>
      <x:c r="F32" s="106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106"/>
      <x:c r="Q32" s="106"/>
      <x:c r="R32" s="106"/>
      <x:c r="S32" s="106"/>
      <x:c r="T32" s="106"/>
      <x:c r="U32" s="106"/>
      <x:c r="V32" s="106"/>
      <x:c r="W32" s="106"/>
      <x:c r="X32" s="106"/>
      <x:c r="Y32" s="106"/>
      <x:c r="Z32" s="106"/>
    </x:row>
    <x:row r="33">
      <x:c r="A33" s="106"/>
      <x:c r="B33" s="106"/>
      <x:c r="C33" s="106"/>
      <x:c r="D33" s="106"/>
      <x:c r="E33" s="106"/>
      <x:c r="F33" s="106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106"/>
      <x:c r="Q33" s="106"/>
      <x:c r="R33" s="106"/>
      <x:c r="S33" s="106"/>
      <x:c r="T33" s="106"/>
      <x:c r="U33" s="106"/>
      <x:c r="V33" s="106"/>
      <x:c r="W33" s="106"/>
      <x:c r="X33" s="106"/>
      <x:c r="Y33" s="106"/>
      <x:c r="Z33" s="106"/>
    </x:row>
    <x:row r="34">
      <x:c r="A34" s="106"/>
      <x:c r="B34" s="106"/>
      <x:c r="C34" s="106"/>
      <x:c r="D34" s="106"/>
      <x:c r="E34" s="106"/>
      <x:c r="F34" s="106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106"/>
      <x:c r="Q34" s="106"/>
      <x:c r="R34" s="106"/>
      <x:c r="S34" s="106"/>
      <x:c r="T34" s="106"/>
      <x:c r="U34" s="106"/>
      <x:c r="V34" s="106"/>
      <x:c r="W34" s="106"/>
      <x:c r="X34" s="106"/>
      <x:c r="Y34" s="106"/>
      <x:c r="Z34" s="106"/>
    </x:row>
    <x:row r="35">
      <x:c r="A35" s="106"/>
      <x:c r="B35" s="106"/>
      <x:c r="C35" s="106"/>
      <x:c r="D35" s="106"/>
      <x:c r="E35" s="106"/>
      <x:c r="F35" s="106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106"/>
      <x:c r="Q35" s="106"/>
      <x:c r="R35" s="106"/>
      <x:c r="S35" s="106"/>
      <x:c r="T35" s="106"/>
      <x:c r="U35" s="106"/>
      <x:c r="V35" s="106"/>
      <x:c r="W35" s="106"/>
      <x:c r="X35" s="106"/>
      <x:c r="Y35" s="106"/>
      <x:c r="Z35" s="106"/>
    </x:row>
    <x:row r="36">
      <x:c r="A36" s="106"/>
      <x:c r="B36" s="106"/>
      <x:c r="C36" s="106"/>
      <x:c r="D36" s="106"/>
      <x:c r="E36" s="106"/>
      <x:c r="F36" s="106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106"/>
      <x:c r="Q36" s="106"/>
      <x:c r="R36" s="106"/>
      <x:c r="S36" s="106"/>
      <x:c r="T36" s="106"/>
      <x:c r="U36" s="106"/>
      <x:c r="V36" s="106"/>
      <x:c r="W36" s="106"/>
      <x:c r="X36" s="106"/>
      <x:c r="Y36" s="106"/>
      <x:c r="Z36" s="106"/>
    </x:row>
    <x:row r="37">
      <x:c r="A37" s="106"/>
      <x:c r="B37" s="106"/>
      <x:c r="C37" s="106"/>
      <x:c r="D37" s="106"/>
      <x:c r="E37" s="106"/>
      <x:c r="F37" s="106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106"/>
      <x:c r="Q37" s="106"/>
      <x:c r="R37" s="106"/>
      <x:c r="S37" s="106"/>
      <x:c r="T37" s="106"/>
      <x:c r="U37" s="106"/>
      <x:c r="V37" s="106"/>
      <x:c r="W37" s="106"/>
      <x:c r="X37" s="106"/>
      <x:c r="Y37" s="106"/>
      <x:c r="Z37" s="106"/>
    </x:row>
    <x:row r="38">
      <x:c r="A38" s="106"/>
      <x:c r="B38" s="106"/>
      <x:c r="C38" s="106"/>
      <x:c r="D38" s="106"/>
      <x:c r="E38" s="106"/>
      <x:c r="F38" s="106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106"/>
      <x:c r="Q38" s="106"/>
      <x:c r="R38" s="106"/>
      <x:c r="S38" s="106"/>
      <x:c r="T38" s="106"/>
      <x:c r="U38" s="106"/>
      <x:c r="V38" s="106"/>
      <x:c r="W38" s="106"/>
      <x:c r="X38" s="106"/>
      <x:c r="Y38" s="106"/>
      <x:c r="Z38" s="106"/>
    </x:row>
    <x:row r="39">
      <x:c r="A39" s="106"/>
      <x:c r="B39" s="106"/>
      <x:c r="C39" s="106"/>
      <x:c r="D39" s="106"/>
      <x:c r="E39" s="106"/>
      <x:c r="F39" s="106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106"/>
      <x:c r="Q39" s="106"/>
      <x:c r="R39" s="106"/>
      <x:c r="S39" s="106"/>
      <x:c r="T39" s="106"/>
      <x:c r="U39" s="106"/>
      <x:c r="V39" s="106"/>
      <x:c r="W39" s="106"/>
      <x:c r="X39" s="106"/>
      <x:c r="Y39" s="106"/>
      <x:c r="Z39" s="106"/>
    </x:row>
    <x:row r="40">
      <x:c r="A40" s="106"/>
      <x:c r="B40" s="106"/>
      <x:c r="C40" s="106"/>
      <x:c r="D40" s="106"/>
      <x:c r="E40" s="106"/>
      <x:c r="F40" s="106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106"/>
      <x:c r="Q40" s="106"/>
      <x:c r="R40" s="106"/>
      <x:c r="S40" s="106"/>
      <x:c r="T40" s="106"/>
      <x:c r="U40" s="106"/>
      <x:c r="V40" s="106"/>
      <x:c r="W40" s="106"/>
      <x:c r="X40" s="106"/>
      <x:c r="Y40" s="106"/>
      <x:c r="Z40" s="106"/>
    </x:row>
    <x:row r="41">
      <x:c r="A41" s="106"/>
      <x:c r="B41" s="106"/>
      <x:c r="C41" s="106"/>
      <x:c r="D41" s="106"/>
      <x:c r="E41" s="106"/>
      <x:c r="F41" s="106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106"/>
      <x:c r="Q41" s="106"/>
      <x:c r="R41" s="106"/>
      <x:c r="S41" s="106"/>
      <x:c r="T41" s="106"/>
      <x:c r="U41" s="106"/>
      <x:c r="V41" s="106"/>
      <x:c r="W41" s="106"/>
      <x:c r="X41" s="106"/>
      <x:c r="Y41" s="106"/>
      <x:c r="Z41" s="106"/>
    </x:row>
    <x:row r="42">
      <x:c r="A42" s="106"/>
      <x:c r="B42" s="106"/>
      <x:c r="C42" s="106"/>
      <x:c r="D42" s="106"/>
      <x:c r="E42" s="106"/>
      <x:c r="F42" s="106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106"/>
      <x:c r="Q42" s="106"/>
      <x:c r="R42" s="106"/>
      <x:c r="S42" s="106"/>
      <x:c r="T42" s="106"/>
      <x:c r="U42" s="106"/>
      <x:c r="V42" s="106"/>
      <x:c r="W42" s="106"/>
      <x:c r="X42" s="106"/>
      <x:c r="Y42" s="106"/>
      <x:c r="Z42" s="106"/>
    </x:row>
    <x:row r="43">
      <x:c r="A43" s="106"/>
      <x:c r="B43" s="106"/>
      <x:c r="C43" s="106"/>
      <x:c r="D43" s="106"/>
      <x:c r="E43" s="106"/>
      <x:c r="F43" s="106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106"/>
      <x:c r="Q43" s="106"/>
      <x:c r="R43" s="106"/>
      <x:c r="S43" s="106"/>
      <x:c r="T43" s="106"/>
      <x:c r="U43" s="106"/>
      <x:c r="V43" s="106"/>
      <x:c r="W43" s="106"/>
      <x:c r="X43" s="106"/>
      <x:c r="Y43" s="106"/>
      <x:c r="Z43" s="106"/>
    </x:row>
    <x:row r="44">
      <x:c r="A44" s="106"/>
      <x:c r="B44" s="106"/>
      <x:c r="C44" s="106"/>
      <x:c r="D44" s="106"/>
      <x:c r="E44" s="106"/>
      <x:c r="F44" s="106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106"/>
      <x:c r="Q44" s="106"/>
      <x:c r="R44" s="106"/>
      <x:c r="S44" s="106"/>
      <x:c r="T44" s="106"/>
      <x:c r="U44" s="106"/>
      <x:c r="V44" s="106"/>
      <x:c r="W44" s="106"/>
      <x:c r="X44" s="106"/>
      <x:c r="Y44" s="106"/>
      <x:c r="Z44" s="106"/>
    </x:row>
    <x:row r="45">
      <x:c r="A45" s="106"/>
      <x:c r="B45" s="106"/>
      <x:c r="C45" s="106"/>
      <x:c r="D45" s="106"/>
      <x:c r="E45" s="106"/>
      <x:c r="F45" s="106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106"/>
      <x:c r="Q45" s="106"/>
      <x:c r="R45" s="106"/>
      <x:c r="S45" s="106"/>
      <x:c r="T45" s="106"/>
      <x:c r="U45" s="106"/>
      <x:c r="V45" s="106"/>
      <x:c r="W45" s="106"/>
      <x:c r="X45" s="106"/>
      <x:c r="Y45" s="106"/>
      <x:c r="Z45" s="106"/>
    </x:row>
    <x:row r="46">
      <x:c r="A46" s="106"/>
      <x:c r="B46" s="106"/>
      <x:c r="C46" s="106"/>
      <x:c r="D46" s="106"/>
      <x:c r="E46" s="106"/>
      <x:c r="F46" s="106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106"/>
      <x:c r="Q46" s="106"/>
      <x:c r="R46" s="106"/>
      <x:c r="S46" s="106"/>
      <x:c r="T46" s="106"/>
      <x:c r="U46" s="106"/>
      <x:c r="V46" s="106"/>
      <x:c r="W46" s="106"/>
      <x:c r="X46" s="106"/>
      <x:c r="Y46" s="106"/>
      <x:c r="Z46" s="106"/>
    </x:row>
    <x:row r="47">
      <x:c r="A47" s="106"/>
      <x:c r="B47" s="106"/>
      <x:c r="C47" s="106"/>
      <x:c r="D47" s="106"/>
      <x:c r="E47" s="106"/>
      <x:c r="F47" s="106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106"/>
      <x:c r="Q47" s="106"/>
      <x:c r="R47" s="106"/>
      <x:c r="S47" s="106"/>
      <x:c r="T47" s="106"/>
      <x:c r="U47" s="106"/>
      <x:c r="V47" s="106"/>
      <x:c r="W47" s="106"/>
      <x:c r="X47" s="106"/>
      <x:c r="Y47" s="106"/>
      <x:c r="Z47" s="106"/>
    </x:row>
    <x:row r="48">
      <x:c r="A48" s="106"/>
      <x:c r="B48" s="106"/>
      <x:c r="C48" s="106"/>
      <x:c r="D48" s="106"/>
      <x:c r="E48" s="106"/>
      <x:c r="F48" s="106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106"/>
      <x:c r="Q48" s="106"/>
      <x:c r="R48" s="106"/>
      <x:c r="S48" s="106"/>
      <x:c r="T48" s="106"/>
      <x:c r="U48" s="106"/>
      <x:c r="V48" s="106"/>
      <x:c r="W48" s="106"/>
      <x:c r="X48" s="106"/>
      <x:c r="Y48" s="106"/>
      <x:c r="Z48" s="106"/>
    </x:row>
    <x:row r="49">
      <x:c r="A49" s="106"/>
      <x:c r="B49" s="106"/>
      <x:c r="C49" s="106"/>
      <x:c r="D49" s="106"/>
      <x:c r="E49" s="106"/>
      <x:c r="F49" s="106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106"/>
      <x:c r="Q49" s="106"/>
      <x:c r="R49" s="106"/>
      <x:c r="S49" s="106"/>
      <x:c r="T49" s="106"/>
      <x:c r="U49" s="106"/>
      <x:c r="V49" s="106"/>
      <x:c r="W49" s="106"/>
      <x:c r="X49" s="106"/>
      <x:c r="Y49" s="106"/>
      <x:c r="Z49" s="106"/>
    </x:row>
    <x:row r="50">
      <x:c r="A50" s="106"/>
      <x:c r="B50" s="106"/>
      <x:c r="C50" s="106"/>
      <x:c r="D50" s="106"/>
      <x:c r="E50" s="106"/>
      <x:c r="F50" s="106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106"/>
      <x:c r="Q50" s="106"/>
      <x:c r="R50" s="106"/>
      <x:c r="S50" s="106"/>
      <x:c r="T50" s="106"/>
      <x:c r="U50" s="106"/>
      <x:c r="V50" s="106"/>
      <x:c r="W50" s="106"/>
      <x:c r="X50" s="106"/>
      <x:c r="Y50" s="106"/>
      <x:c r="Z50" s="106"/>
    </x:row>
    <x:row r="51">
      <x:c r="A51" s="106"/>
      <x:c r="B51" s="106"/>
      <x:c r="C51" s="106"/>
      <x:c r="D51" s="106"/>
      <x:c r="E51" s="106"/>
      <x:c r="F51" s="106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106"/>
      <x:c r="Q51" s="106"/>
      <x:c r="R51" s="106"/>
      <x:c r="S51" s="106"/>
      <x:c r="T51" s="106"/>
      <x:c r="U51" s="106"/>
      <x:c r="V51" s="106"/>
      <x:c r="W51" s="106"/>
      <x:c r="X51" s="106"/>
      <x:c r="Y51" s="106"/>
      <x:c r="Z51" s="106"/>
    </x:row>
    <x:row r="52">
      <x:c r="A52" s="106"/>
      <x:c r="B52" s="106"/>
      <x:c r="C52" s="106"/>
      <x:c r="D52" s="106"/>
      <x:c r="E52" s="106"/>
      <x:c r="F52" s="106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106"/>
      <x:c r="Q52" s="106"/>
      <x:c r="R52" s="106"/>
      <x:c r="S52" s="106"/>
      <x:c r="T52" s="106"/>
      <x:c r="U52" s="106"/>
      <x:c r="V52" s="106"/>
      <x:c r="W52" s="106"/>
      <x:c r="X52" s="106"/>
      <x:c r="Y52" s="106"/>
      <x:c r="Z52" s="106"/>
    </x:row>
    <x:row r="53">
      <x:c r="A53" s="106"/>
      <x:c r="B53" s="106"/>
      <x:c r="C53" s="106"/>
      <x:c r="D53" s="106"/>
      <x:c r="E53" s="106"/>
      <x:c r="F53" s="106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106"/>
      <x:c r="Q53" s="106"/>
      <x:c r="R53" s="106"/>
      <x:c r="S53" s="106"/>
      <x:c r="T53" s="106"/>
      <x:c r="U53" s="106"/>
      <x:c r="V53" s="106"/>
      <x:c r="W53" s="106"/>
      <x:c r="X53" s="106"/>
      <x:c r="Y53" s="106"/>
      <x:c r="Z53" s="106"/>
    </x:row>
    <x:row r="54">
      <x:c r="A54" s="106"/>
      <x:c r="B54" s="106"/>
      <x:c r="C54" s="106"/>
      <x:c r="D54" s="106"/>
      <x:c r="E54" s="106"/>
      <x:c r="F54" s="106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106"/>
      <x:c r="Q54" s="106"/>
      <x:c r="R54" s="106"/>
      <x:c r="S54" s="106"/>
      <x:c r="T54" s="106"/>
      <x:c r="U54" s="106"/>
      <x:c r="V54" s="106"/>
      <x:c r="W54" s="106"/>
      <x:c r="X54" s="106"/>
      <x:c r="Y54" s="106"/>
      <x:c r="Z54" s="106"/>
    </x:row>
    <x:row r="55">
      <x:c r="A55" s="106"/>
      <x:c r="B55" s="106"/>
      <x:c r="C55" s="106"/>
      <x:c r="D55" s="106"/>
      <x:c r="E55" s="106"/>
      <x:c r="F55" s="106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106"/>
      <x:c r="Q55" s="106"/>
      <x:c r="R55" s="106"/>
      <x:c r="S55" s="106"/>
      <x:c r="T55" s="106"/>
      <x:c r="U55" s="106"/>
      <x:c r="V55" s="106"/>
      <x:c r="W55" s="106"/>
      <x:c r="X55" s="106"/>
      <x:c r="Y55" s="106"/>
      <x:c r="Z55" s="106"/>
    </x:row>
    <x:row r="56">
      <x:c r="A56" s="106"/>
      <x:c r="B56" s="106"/>
      <x:c r="C56" s="106"/>
      <x:c r="D56" s="106"/>
      <x:c r="E56" s="106"/>
      <x:c r="F56" s="106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106"/>
      <x:c r="Q56" s="106"/>
      <x:c r="R56" s="106"/>
      <x:c r="S56" s="106"/>
      <x:c r="T56" s="106"/>
      <x:c r="U56" s="106"/>
      <x:c r="V56" s="106"/>
      <x:c r="W56" s="106"/>
      <x:c r="X56" s="106"/>
      <x:c r="Y56" s="106"/>
      <x:c r="Z56" s="106"/>
    </x:row>
    <x:row r="57">
      <x:c r="A57" s="106"/>
      <x:c r="B57" s="106"/>
      <x:c r="C57" s="106"/>
      <x:c r="D57" s="106"/>
      <x:c r="E57" s="106"/>
      <x:c r="F57" s="106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106"/>
      <x:c r="Q57" s="106"/>
      <x:c r="R57" s="106"/>
      <x:c r="S57" s="106"/>
      <x:c r="T57" s="106"/>
      <x:c r="U57" s="106"/>
      <x:c r="V57" s="106"/>
      <x:c r="W57" s="106"/>
      <x:c r="X57" s="106"/>
      <x:c r="Y57" s="106"/>
      <x:c r="Z57" s="106"/>
    </x:row>
    <x:row r="58">
      <x:c r="A58" s="106"/>
      <x:c r="B58" s="106"/>
      <x:c r="C58" s="106"/>
      <x:c r="D58" s="106"/>
      <x:c r="E58" s="106"/>
      <x:c r="F58" s="106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106"/>
      <x:c r="Q58" s="106"/>
      <x:c r="R58" s="106"/>
      <x:c r="S58" s="106"/>
      <x:c r="T58" s="106"/>
      <x:c r="U58" s="106"/>
      <x:c r="V58" s="106"/>
      <x:c r="W58" s="106"/>
      <x:c r="X58" s="106"/>
      <x:c r="Y58" s="106"/>
      <x:c r="Z58" s="106"/>
    </x:row>
    <x:row r="59">
      <x:c r="A59" s="106"/>
      <x:c r="B59" s="106"/>
      <x:c r="C59" s="106"/>
      <x:c r="D59" s="106"/>
      <x:c r="E59" s="106"/>
      <x:c r="F59" s="106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106"/>
      <x:c r="Q59" s="106"/>
      <x:c r="R59" s="106"/>
      <x:c r="S59" s="106"/>
      <x:c r="T59" s="106"/>
      <x:c r="U59" s="106"/>
      <x:c r="V59" s="106"/>
      <x:c r="W59" s="106"/>
      <x:c r="X59" s="106"/>
      <x:c r="Y59" s="106"/>
      <x:c r="Z59" s="106"/>
    </x:row>
    <x:row r="60">
      <x:c r="A60" s="106"/>
      <x:c r="B60" s="106"/>
      <x:c r="C60" s="106"/>
      <x:c r="D60" s="106"/>
      <x:c r="E60" s="106"/>
      <x:c r="F60" s="106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106"/>
      <x:c r="Q60" s="106"/>
      <x:c r="R60" s="106"/>
      <x:c r="S60" s="106"/>
      <x:c r="T60" s="106"/>
      <x:c r="U60" s="106"/>
      <x:c r="V60" s="106"/>
      <x:c r="W60" s="106"/>
      <x:c r="X60" s="106"/>
      <x:c r="Y60" s="106"/>
      <x:c r="Z60" s="106"/>
    </x:row>
    <x:row r="61">
      <x:c r="A61" s="106"/>
      <x:c r="B61" s="106"/>
      <x:c r="C61" s="106"/>
      <x:c r="D61" s="106"/>
      <x:c r="E61" s="106"/>
      <x:c r="F61" s="106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106"/>
      <x:c r="Q61" s="106"/>
      <x:c r="R61" s="106"/>
      <x:c r="S61" s="106"/>
      <x:c r="T61" s="106"/>
      <x:c r="U61" s="106"/>
      <x:c r="V61" s="106"/>
      <x:c r="W61" s="106"/>
      <x:c r="X61" s="106"/>
      <x:c r="Y61" s="106"/>
      <x:c r="Z61" s="106"/>
    </x:row>
    <x:row r="62">
      <x:c r="A62" s="106"/>
      <x:c r="B62" s="106"/>
      <x:c r="C62" s="106"/>
      <x:c r="D62" s="106"/>
      <x:c r="E62" s="106"/>
      <x:c r="F62" s="106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106"/>
      <x:c r="Q62" s="106"/>
      <x:c r="R62" s="106"/>
      <x:c r="S62" s="106"/>
      <x:c r="T62" s="106"/>
      <x:c r="U62" s="106"/>
      <x:c r="V62" s="106"/>
      <x:c r="W62" s="106"/>
      <x:c r="X62" s="106"/>
      <x:c r="Y62" s="106"/>
      <x:c r="Z62" s="106"/>
    </x:row>
    <x:row r="63">
      <x:c r="A63" s="106"/>
      <x:c r="B63" s="106"/>
      <x:c r="C63" s="106"/>
      <x:c r="D63" s="106"/>
      <x:c r="E63" s="106"/>
      <x:c r="F63" s="106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106"/>
      <x:c r="Q63" s="106"/>
      <x:c r="R63" s="106"/>
      <x:c r="S63" s="106"/>
      <x:c r="T63" s="106"/>
      <x:c r="U63" s="106"/>
      <x:c r="V63" s="106"/>
      <x:c r="W63" s="106"/>
      <x:c r="X63" s="106"/>
      <x:c r="Y63" s="106"/>
      <x:c r="Z63" s="106"/>
    </x:row>
    <x:row r="64">
      <x:c r="A64" s="106"/>
      <x:c r="B64" s="106"/>
      <x:c r="C64" s="106"/>
      <x:c r="D64" s="106"/>
      <x:c r="E64" s="106"/>
      <x:c r="F64" s="106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106"/>
      <x:c r="Q64" s="106"/>
      <x:c r="R64" s="106"/>
      <x:c r="S64" s="106"/>
      <x:c r="T64" s="106"/>
      <x:c r="U64" s="106"/>
      <x:c r="V64" s="106"/>
      <x:c r="W64" s="106"/>
      <x:c r="X64" s="106"/>
      <x:c r="Y64" s="106"/>
      <x:c r="Z64" s="106"/>
    </x:row>
    <x:row r="65">
      <x:c r="A65" s="106"/>
      <x:c r="B65" s="106"/>
      <x:c r="C65" s="106"/>
      <x:c r="D65" s="106"/>
      <x:c r="E65" s="106"/>
      <x:c r="F65" s="106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106"/>
      <x:c r="Q65" s="106"/>
      <x:c r="R65" s="106"/>
      <x:c r="S65" s="106"/>
      <x:c r="T65" s="106"/>
      <x:c r="U65" s="106"/>
      <x:c r="V65" s="106"/>
      <x:c r="W65" s="106"/>
      <x:c r="X65" s="106"/>
      <x:c r="Y65" s="106"/>
      <x:c r="Z65" s="106"/>
    </x:row>
    <x:row r="66">
      <x:c r="A66" s="106"/>
      <x:c r="B66" s="106"/>
      <x:c r="C66" s="106"/>
      <x:c r="D66" s="106"/>
      <x:c r="E66" s="106"/>
      <x:c r="F66" s="106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106"/>
      <x:c r="Q66" s="106"/>
      <x:c r="R66" s="106"/>
      <x:c r="S66" s="106"/>
      <x:c r="T66" s="106"/>
      <x:c r="U66" s="106"/>
      <x:c r="V66" s="106"/>
      <x:c r="W66" s="106"/>
      <x:c r="X66" s="106"/>
      <x:c r="Y66" s="106"/>
      <x:c r="Z66" s="106"/>
    </x:row>
    <x:row r="67">
      <x:c r="A67" s="106"/>
      <x:c r="B67" s="106"/>
      <x:c r="C67" s="106"/>
      <x:c r="D67" s="106"/>
      <x:c r="E67" s="106"/>
      <x:c r="F67" s="106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106"/>
      <x:c r="Q67" s="106"/>
      <x:c r="R67" s="106"/>
      <x:c r="S67" s="106"/>
      <x:c r="T67" s="106"/>
      <x:c r="U67" s="106"/>
      <x:c r="V67" s="106"/>
      <x:c r="W67" s="106"/>
      <x:c r="X67" s="106"/>
      <x:c r="Y67" s="106"/>
      <x:c r="Z67" s="106"/>
    </x:row>
    <x:row r="68">
      <x:c r="A68" s="106"/>
      <x:c r="B68" s="106"/>
      <x:c r="C68" s="106"/>
      <x:c r="D68" s="106"/>
      <x:c r="E68" s="106"/>
      <x:c r="F68" s="106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106"/>
      <x:c r="Q68" s="106"/>
      <x:c r="R68" s="106"/>
      <x:c r="S68" s="106"/>
      <x:c r="T68" s="106"/>
      <x:c r="U68" s="106"/>
      <x:c r="V68" s="106"/>
      <x:c r="W68" s="106"/>
      <x:c r="X68" s="106"/>
      <x:c r="Y68" s="106"/>
      <x:c r="Z68" s="106"/>
    </x:row>
    <x:row r="69">
      <x:c r="A69" s="106"/>
      <x:c r="B69" s="106"/>
      <x:c r="C69" s="106"/>
      <x:c r="D69" s="106"/>
      <x:c r="E69" s="106"/>
      <x:c r="F69" s="106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106"/>
      <x:c r="Q69" s="106"/>
      <x:c r="R69" s="106"/>
      <x:c r="S69" s="106"/>
      <x:c r="T69" s="106"/>
      <x:c r="U69" s="106"/>
      <x:c r="V69" s="106"/>
      <x:c r="W69" s="106"/>
      <x:c r="X69" s="106"/>
      <x:c r="Y69" s="106"/>
      <x:c r="Z69" s="106"/>
    </x:row>
    <x:row r="70">
      <x:c r="A70" s="106"/>
      <x:c r="B70" s="106"/>
      <x:c r="C70" s="106"/>
      <x:c r="D70" s="106"/>
      <x:c r="E70" s="106"/>
      <x:c r="F70" s="106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106"/>
      <x:c r="Q70" s="106"/>
      <x:c r="R70" s="106"/>
      <x:c r="S70" s="106"/>
      <x:c r="T70" s="106"/>
      <x:c r="U70" s="106"/>
      <x:c r="V70" s="106"/>
      <x:c r="W70" s="106"/>
      <x:c r="X70" s="106"/>
      <x:c r="Y70" s="106"/>
      <x:c r="Z70" s="106"/>
    </x:row>
    <x:row r="71">
      <x:c r="A71" s="106"/>
      <x:c r="B71" s="106"/>
      <x:c r="C71" s="106"/>
      <x:c r="D71" s="106"/>
      <x:c r="E71" s="106"/>
      <x:c r="F71" s="106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106"/>
      <x:c r="Q71" s="106"/>
      <x:c r="R71" s="106"/>
      <x:c r="S71" s="106"/>
      <x:c r="T71" s="106"/>
      <x:c r="U71" s="106"/>
      <x:c r="V71" s="106"/>
      <x:c r="W71" s="106"/>
      <x:c r="X71" s="106"/>
      <x:c r="Y71" s="106"/>
      <x:c r="Z71" s="106"/>
    </x:row>
    <x:row r="72">
      <x:c r="A72" s="106"/>
      <x:c r="B72" s="106"/>
      <x:c r="C72" s="106"/>
      <x:c r="D72" s="106"/>
      <x:c r="E72" s="106"/>
      <x:c r="F72" s="106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106"/>
      <x:c r="Q72" s="106"/>
      <x:c r="R72" s="106"/>
      <x:c r="S72" s="106"/>
      <x:c r="T72" s="106"/>
      <x:c r="U72" s="106"/>
      <x:c r="V72" s="106"/>
      <x:c r="W72" s="106"/>
      <x:c r="X72" s="106"/>
      <x:c r="Y72" s="106"/>
      <x:c r="Z72" s="106"/>
    </x:row>
    <x:row r="73">
      <x:c r="A73" s="106"/>
      <x:c r="B73" s="106"/>
      <x:c r="C73" s="106"/>
      <x:c r="D73" s="106"/>
      <x:c r="E73" s="106"/>
      <x:c r="F73" s="106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106"/>
      <x:c r="Q73" s="106"/>
      <x:c r="R73" s="106"/>
      <x:c r="S73" s="106"/>
      <x:c r="T73" s="106"/>
      <x:c r="U73" s="106"/>
      <x:c r="V73" s="106"/>
      <x:c r="W73" s="106"/>
      <x:c r="X73" s="106"/>
      <x:c r="Y73" s="106"/>
      <x:c r="Z73" s="106"/>
    </x:row>
    <x:row r="74">
      <x:c r="A74" s="106"/>
      <x:c r="B74" s="106"/>
      <x:c r="C74" s="106"/>
      <x:c r="D74" s="106"/>
      <x:c r="E74" s="106"/>
      <x:c r="F74" s="106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106"/>
      <x:c r="Q74" s="106"/>
      <x:c r="R74" s="106"/>
      <x:c r="S74" s="106"/>
      <x:c r="T74" s="106"/>
      <x:c r="U74" s="106"/>
      <x:c r="V74" s="106"/>
      <x:c r="W74" s="106"/>
      <x:c r="X74" s="106"/>
      <x:c r="Y74" s="106"/>
      <x:c r="Z74" s="106"/>
    </x:row>
    <x:row r="75">
      <x:c r="A75" s="106"/>
      <x:c r="B75" s="106"/>
      <x:c r="C75" s="106"/>
      <x:c r="D75" s="106"/>
      <x:c r="E75" s="106"/>
      <x:c r="F75" s="106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106"/>
      <x:c r="Q75" s="106"/>
      <x:c r="R75" s="106"/>
      <x:c r="S75" s="106"/>
      <x:c r="T75" s="106"/>
      <x:c r="U75" s="106"/>
      <x:c r="V75" s="106"/>
      <x:c r="W75" s="106"/>
      <x:c r="X75" s="106"/>
      <x:c r="Y75" s="106"/>
      <x:c r="Z75" s="106"/>
    </x:row>
    <x:row r="76">
      <x:c r="A76" s="106"/>
      <x:c r="B76" s="106"/>
      <x:c r="C76" s="106"/>
      <x:c r="D76" s="106"/>
      <x:c r="E76" s="106"/>
      <x:c r="F76" s="106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106"/>
      <x:c r="Q76" s="106"/>
      <x:c r="R76" s="106"/>
      <x:c r="S76" s="106"/>
      <x:c r="T76" s="106"/>
      <x:c r="U76" s="106"/>
      <x:c r="V76" s="106"/>
      <x:c r="W76" s="106"/>
      <x:c r="X76" s="106"/>
      <x:c r="Y76" s="106"/>
      <x:c r="Z76" s="106"/>
    </x:row>
    <x:row r="77">
      <x:c r="A77" s="106"/>
      <x:c r="B77" s="106"/>
      <x:c r="C77" s="106"/>
      <x:c r="D77" s="106"/>
      <x:c r="E77" s="106"/>
      <x:c r="F77" s="106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106"/>
      <x:c r="Q77" s="106"/>
      <x:c r="R77" s="106"/>
      <x:c r="S77" s="106"/>
      <x:c r="T77" s="106"/>
      <x:c r="U77" s="106"/>
      <x:c r="V77" s="106"/>
      <x:c r="W77" s="106"/>
      <x:c r="X77" s="106"/>
      <x:c r="Y77" s="106"/>
      <x:c r="Z77" s="106"/>
    </x:row>
    <x:row r="78">
      <x:c r="A78" s="106"/>
      <x:c r="B78" s="106"/>
      <x:c r="C78" s="106"/>
      <x:c r="D78" s="106"/>
      <x:c r="E78" s="106"/>
      <x:c r="F78" s="106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106"/>
      <x:c r="Q78" s="106"/>
      <x:c r="R78" s="106"/>
      <x:c r="S78" s="106"/>
      <x:c r="T78" s="106"/>
      <x:c r="U78" s="106"/>
      <x:c r="V78" s="106"/>
      <x:c r="W78" s="106"/>
      <x:c r="X78" s="106"/>
      <x:c r="Y78" s="106"/>
      <x:c r="Z78" s="106"/>
    </x:row>
    <x:row r="79">
      <x:c r="A79" s="106"/>
      <x:c r="B79" s="106"/>
      <x:c r="C79" s="106"/>
      <x:c r="D79" s="106"/>
      <x:c r="E79" s="106"/>
      <x:c r="F79" s="106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106"/>
      <x:c r="Q79" s="106"/>
      <x:c r="R79" s="106"/>
      <x:c r="S79" s="106"/>
      <x:c r="T79" s="106"/>
      <x:c r="U79" s="106"/>
      <x:c r="V79" s="106"/>
      <x:c r="W79" s="106"/>
      <x:c r="X79" s="106"/>
      <x:c r="Y79" s="106"/>
      <x:c r="Z79" s="106"/>
    </x:row>
    <x:row r="80">
      <x:c r="A80" s="106"/>
      <x:c r="B80" s="106"/>
      <x:c r="C80" s="106"/>
      <x:c r="D80" s="106"/>
      <x:c r="E80" s="106"/>
      <x:c r="F80" s="106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106"/>
      <x:c r="Q80" s="106"/>
      <x:c r="R80" s="106"/>
      <x:c r="S80" s="106"/>
      <x:c r="T80" s="106"/>
      <x:c r="U80" s="106"/>
      <x:c r="V80" s="106"/>
      <x:c r="W80" s="106"/>
      <x:c r="X80" s="106"/>
      <x:c r="Y80" s="106"/>
      <x:c r="Z80" s="106"/>
    </x:row>
    <x:row r="81">
      <x:c r="A81" s="106"/>
      <x:c r="B81" s="106"/>
      <x:c r="C81" s="106"/>
      <x:c r="D81" s="106"/>
      <x:c r="E81" s="106"/>
      <x:c r="F81" s="106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106"/>
      <x:c r="Q81" s="106"/>
      <x:c r="R81" s="106"/>
      <x:c r="S81" s="106"/>
      <x:c r="T81" s="106"/>
      <x:c r="U81" s="106"/>
      <x:c r="V81" s="106"/>
      <x:c r="W81" s="106"/>
      <x:c r="X81" s="106"/>
      <x:c r="Y81" s="106"/>
      <x:c r="Z81" s="106"/>
    </x:row>
    <x:row r="82">
      <x:c r="A82" s="106"/>
      <x:c r="B82" s="106"/>
      <x:c r="C82" s="106"/>
      <x:c r="D82" s="106"/>
      <x:c r="E82" s="106"/>
      <x:c r="F82" s="106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106"/>
      <x:c r="Q82" s="106"/>
      <x:c r="R82" s="106"/>
      <x:c r="S82" s="106"/>
      <x:c r="T82" s="106"/>
      <x:c r="U82" s="106"/>
      <x:c r="V82" s="106"/>
      <x:c r="W82" s="106"/>
      <x:c r="X82" s="106"/>
      <x:c r="Y82" s="106"/>
      <x:c r="Z82" s="106"/>
    </x:row>
    <x:row r="83">
      <x:c r="A83" s="106"/>
      <x:c r="B83" s="106"/>
      <x:c r="C83" s="106"/>
      <x:c r="D83" s="106"/>
      <x:c r="E83" s="106"/>
      <x:c r="F83" s="106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106"/>
      <x:c r="Q83" s="106"/>
      <x:c r="R83" s="106"/>
      <x:c r="S83" s="106"/>
      <x:c r="T83" s="106"/>
      <x:c r="U83" s="106"/>
      <x:c r="V83" s="106"/>
      <x:c r="W83" s="106"/>
      <x:c r="X83" s="106"/>
      <x:c r="Y83" s="106"/>
      <x:c r="Z83" s="106"/>
    </x:row>
    <x:row r="84">
      <x:c r="A84" s="106"/>
      <x:c r="B84" s="106"/>
      <x:c r="C84" s="106"/>
      <x:c r="D84" s="106"/>
      <x:c r="E84" s="106"/>
      <x:c r="F84" s="106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106"/>
      <x:c r="Q84" s="106"/>
      <x:c r="R84" s="106"/>
      <x:c r="S84" s="106"/>
      <x:c r="T84" s="106"/>
      <x:c r="U84" s="106"/>
      <x:c r="V84" s="106"/>
      <x:c r="W84" s="106"/>
      <x:c r="X84" s="106"/>
      <x:c r="Y84" s="106"/>
      <x:c r="Z84" s="106"/>
    </x:row>
    <x:row r="85">
      <x:c r="A85" s="106"/>
      <x:c r="B85" s="106"/>
      <x:c r="C85" s="106"/>
      <x:c r="D85" s="106"/>
      <x:c r="E85" s="106"/>
      <x:c r="F85" s="106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106"/>
      <x:c r="Q85" s="106"/>
      <x:c r="R85" s="106"/>
      <x:c r="S85" s="106"/>
      <x:c r="T85" s="106"/>
      <x:c r="U85" s="106"/>
      <x:c r="V85" s="106"/>
      <x:c r="W85" s="106"/>
      <x:c r="X85" s="106"/>
      <x:c r="Y85" s="106"/>
      <x:c r="Z85" s="106"/>
    </x:row>
    <x:row r="86">
      <x:c r="A86" s="106"/>
      <x:c r="B86" s="106"/>
      <x:c r="C86" s="106"/>
      <x:c r="D86" s="106"/>
      <x:c r="E86" s="106"/>
      <x:c r="F86" s="106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106"/>
      <x:c r="Q86" s="106"/>
      <x:c r="R86" s="106"/>
      <x:c r="S86" s="106"/>
      <x:c r="T86" s="106"/>
      <x:c r="U86" s="106"/>
      <x:c r="V86" s="106"/>
      <x:c r="W86" s="106"/>
      <x:c r="X86" s="106"/>
      <x:c r="Y86" s="106"/>
      <x:c r="Z86" s="106"/>
    </x:row>
    <x:row r="87">
      <x:c r="A87" s="106"/>
      <x:c r="B87" s="106"/>
      <x:c r="C87" s="106"/>
      <x:c r="D87" s="106"/>
      <x:c r="E87" s="106"/>
      <x:c r="F87" s="106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106"/>
      <x:c r="Q87" s="106"/>
      <x:c r="R87" s="106"/>
      <x:c r="S87" s="106"/>
      <x:c r="T87" s="106"/>
      <x:c r="U87" s="106"/>
      <x:c r="V87" s="106"/>
      <x:c r="W87" s="106"/>
      <x:c r="X87" s="106"/>
      <x:c r="Y87" s="106"/>
      <x:c r="Z87" s="106"/>
    </x:row>
    <x:row r="88">
      <x:c r="A88" s="106"/>
      <x:c r="B88" s="106"/>
      <x:c r="C88" s="106"/>
      <x:c r="D88" s="106"/>
      <x:c r="E88" s="106"/>
      <x:c r="F88" s="106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106"/>
      <x:c r="Q88" s="106"/>
      <x:c r="R88" s="106"/>
      <x:c r="S88" s="106"/>
      <x:c r="T88" s="106"/>
      <x:c r="U88" s="106"/>
      <x:c r="V88" s="106"/>
      <x:c r="W88" s="106"/>
      <x:c r="X88" s="106"/>
      <x:c r="Y88" s="106"/>
      <x:c r="Z88" s="106"/>
    </x:row>
    <x:row r="89">
      <x:c r="A89" s="106"/>
      <x:c r="B89" s="106"/>
      <x:c r="C89" s="106"/>
      <x:c r="D89" s="106"/>
      <x:c r="E89" s="106"/>
      <x:c r="F89" s="106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106"/>
      <x:c r="Q89" s="106"/>
      <x:c r="R89" s="106"/>
      <x:c r="S89" s="106"/>
      <x:c r="T89" s="106"/>
      <x:c r="U89" s="106"/>
      <x:c r="V89" s="106"/>
      <x:c r="W89" s="106"/>
      <x:c r="X89" s="106"/>
      <x:c r="Y89" s="106"/>
      <x:c r="Z89" s="106"/>
    </x:row>
    <x:row r="90">
      <x:c r="A90" s="106"/>
      <x:c r="B90" s="106"/>
      <x:c r="C90" s="106"/>
      <x:c r="D90" s="106"/>
      <x:c r="E90" s="106"/>
      <x:c r="F90" s="106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106"/>
      <x:c r="Q90" s="106"/>
      <x:c r="R90" s="106"/>
      <x:c r="S90" s="106"/>
      <x:c r="T90" s="106"/>
      <x:c r="U90" s="106"/>
      <x:c r="V90" s="106"/>
      <x:c r="W90" s="106"/>
      <x:c r="X90" s="106"/>
      <x:c r="Y90" s="106"/>
      <x:c r="Z90" s="106"/>
    </x:row>
    <x:row r="91">
      <x:c r="A91" s="106"/>
      <x:c r="B91" s="106"/>
      <x:c r="C91" s="106"/>
      <x:c r="D91" s="106"/>
      <x:c r="E91" s="106"/>
      <x:c r="F91" s="106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106"/>
      <x:c r="Q91" s="106"/>
      <x:c r="R91" s="106"/>
      <x:c r="S91" s="106"/>
      <x:c r="T91" s="106"/>
      <x:c r="U91" s="106"/>
      <x:c r="V91" s="106"/>
      <x:c r="W91" s="106"/>
      <x:c r="X91" s="106"/>
      <x:c r="Y91" s="106"/>
      <x:c r="Z91" s="106"/>
    </x:row>
    <x:row r="92">
      <x:c r="A92" s="106"/>
      <x:c r="B92" s="106"/>
      <x:c r="C92" s="106"/>
      <x:c r="D92" s="106"/>
      <x:c r="E92" s="106"/>
      <x:c r="F92" s="106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106"/>
      <x:c r="Q92" s="106"/>
      <x:c r="R92" s="106"/>
      <x:c r="S92" s="106"/>
      <x:c r="T92" s="106"/>
      <x:c r="U92" s="106"/>
      <x:c r="V92" s="106"/>
      <x:c r="W92" s="106"/>
      <x:c r="X92" s="106"/>
      <x:c r="Y92" s="106"/>
      <x:c r="Z92" s="106"/>
    </x:row>
    <x:row r="93">
      <x:c r="A93" s="106"/>
      <x:c r="B93" s="106"/>
      <x:c r="C93" s="106"/>
      <x:c r="D93" s="106"/>
      <x:c r="E93" s="106"/>
      <x:c r="F93" s="106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106"/>
      <x:c r="Q93" s="106"/>
      <x:c r="R93" s="106"/>
      <x:c r="S93" s="106"/>
      <x:c r="T93" s="106"/>
      <x:c r="U93" s="106"/>
      <x:c r="V93" s="106"/>
      <x:c r="W93" s="106"/>
      <x:c r="X93" s="106"/>
      <x:c r="Y93" s="106"/>
      <x:c r="Z93" s="106"/>
    </x:row>
    <x:row r="94">
      <x:c r="A94" s="106"/>
      <x:c r="B94" s="106"/>
      <x:c r="C94" s="106"/>
      <x:c r="D94" s="106"/>
      <x:c r="E94" s="106"/>
      <x:c r="F94" s="106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106"/>
      <x:c r="Q94" s="106"/>
      <x:c r="R94" s="106"/>
      <x:c r="S94" s="106"/>
      <x:c r="T94" s="106"/>
      <x:c r="U94" s="106"/>
      <x:c r="V94" s="106"/>
      <x:c r="W94" s="106"/>
      <x:c r="X94" s="106"/>
      <x:c r="Y94" s="106"/>
      <x:c r="Z94" s="106"/>
    </x:row>
    <x:row r="95">
      <x:c r="A95" s="106"/>
      <x:c r="B95" s="106"/>
      <x:c r="C95" s="106"/>
      <x:c r="D95" s="106"/>
      <x:c r="E95" s="106"/>
      <x:c r="F95" s="106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106"/>
      <x:c r="Q95" s="106"/>
      <x:c r="R95" s="106"/>
      <x:c r="S95" s="106"/>
      <x:c r="T95" s="106"/>
      <x:c r="U95" s="106"/>
      <x:c r="V95" s="106"/>
      <x:c r="W95" s="106"/>
      <x:c r="X95" s="106"/>
      <x:c r="Y95" s="106"/>
      <x:c r="Z95" s="106"/>
    </x:row>
    <x:row r="96">
      <x:c r="A96" s="106"/>
      <x:c r="B96" s="106"/>
      <x:c r="C96" s="106"/>
      <x:c r="D96" s="106"/>
      <x:c r="E96" s="106"/>
      <x:c r="F96" s="106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106"/>
      <x:c r="Q96" s="106"/>
      <x:c r="R96" s="106"/>
      <x:c r="S96" s="106"/>
      <x:c r="T96" s="106"/>
      <x:c r="U96" s="106"/>
      <x:c r="V96" s="106"/>
      <x:c r="W96" s="106"/>
      <x:c r="X96" s="106"/>
      <x:c r="Y96" s="106"/>
      <x:c r="Z96" s="106"/>
    </x:row>
    <x:row r="97">
      <x:c r="A97" s="106"/>
      <x:c r="B97" s="106"/>
      <x:c r="C97" s="106"/>
      <x:c r="D97" s="106"/>
      <x:c r="E97" s="106"/>
      <x:c r="F97" s="106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106"/>
      <x:c r="Q97" s="106"/>
      <x:c r="R97" s="106"/>
      <x:c r="S97" s="106"/>
      <x:c r="T97" s="106"/>
      <x:c r="U97" s="106"/>
      <x:c r="V97" s="106"/>
      <x:c r="W97" s="106"/>
      <x:c r="X97" s="106"/>
      <x:c r="Y97" s="106"/>
      <x:c r="Z97" s="106"/>
    </x:row>
    <x:row r="98">
      <x:c r="A98" s="106"/>
      <x:c r="B98" s="106"/>
      <x:c r="C98" s="106"/>
      <x:c r="D98" s="106"/>
      <x:c r="E98" s="106"/>
      <x:c r="F98" s="106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106"/>
      <x:c r="Q98" s="106"/>
      <x:c r="R98" s="106"/>
      <x:c r="S98" s="106"/>
      <x:c r="T98" s="106"/>
      <x:c r="U98" s="106"/>
      <x:c r="V98" s="106"/>
      <x:c r="W98" s="106"/>
      <x:c r="X98" s="106"/>
      <x:c r="Y98" s="106"/>
      <x:c r="Z98" s="106"/>
    </x:row>
    <x:row r="99">
      <x:c r="A99" s="106"/>
      <x:c r="B99" s="106"/>
      <x:c r="C99" s="106"/>
      <x:c r="D99" s="106"/>
      <x:c r="E99" s="106"/>
      <x:c r="F99" s="106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106"/>
      <x:c r="Q99" s="106"/>
      <x:c r="R99" s="106"/>
      <x:c r="S99" s="106"/>
      <x:c r="T99" s="106"/>
      <x:c r="U99" s="106"/>
      <x:c r="V99" s="106"/>
      <x:c r="W99" s="106"/>
      <x:c r="X99" s="106"/>
      <x:c r="Y99" s="106"/>
      <x:c r="Z99" s="106"/>
    </x:row>
    <x:row r="100">
      <x:c r="A100" s="106"/>
      <x:c r="B100" s="106"/>
      <x:c r="C100" s="106"/>
      <x:c r="D100" s="106"/>
      <x:c r="E100" s="106"/>
      <x:c r="F100" s="106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106"/>
      <x:c r="Q100" s="106"/>
      <x:c r="R100" s="106"/>
      <x:c r="S100" s="106"/>
      <x:c r="T100" s="106"/>
      <x:c r="U100" s="106"/>
      <x:c r="V100" s="106"/>
      <x:c r="W100" s="106"/>
      <x:c r="X100" s="106"/>
      <x:c r="Y100" s="106"/>
      <x:c r="Z100" s="106"/>
    </x:row>
  </x:sheetData>
  <x:mergeCells>
    <x:mergeCell ref="A1:H1"/>
    <x:mergeCell ref="A2:H2"/>
    <x:mergeCell ref="A4:H4"/>
    <x:mergeCell ref="A5:H6"/>
    <x:mergeCell ref="A8:B8"/>
    <x:mergeCell ref="A9:B10"/>
    <x:mergeCell ref="C8:D8"/>
    <x:mergeCell ref="C9:D10"/>
    <x:mergeCell ref="E8:F8"/>
    <x:mergeCell ref="E9:F10"/>
    <x:mergeCell ref="G8:H8"/>
    <x:mergeCell ref="G9:H10"/>
    <x:mergeCell ref="A13:D13"/>
    <x:mergeCell ref="F13:H13"/>
    <x:mergeCell ref="A22:H22"/>
    <x:mergeCell ref="A23:H26"/>
    <x:mergeCell ref="A28:H29"/>
  </x:mergeCells>
  <x:pageMargins left="0.7" right="0.7" top="0.75" bottom="0.75" header="0.3" footer="0.3"/>
</x:worksheet>
</file>