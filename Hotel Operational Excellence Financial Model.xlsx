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xl/drawings/drawing6.xml" ContentType="application/vnd.openxmlformats-officedocument.drawing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Jackster\Desktop\Cynthia's file\CV\2026\MO\"/>
    </mc:Choice>
  </mc:AlternateContent>
  <xr:revisionPtr revIDLastSave="0" documentId="13_ncr:1_{FF1DBEAE-74A3-4326-8A59-E48359C84846}" xr6:coauthVersionLast="47" xr6:coauthVersionMax="47" xr10:uidLastSave="{00000000-0000-0000-0000-000000000000}"/>
  <bookViews>
    <workbookView xWindow="-108" yWindow="-108" windowWidth="30936" windowHeight="17496" xr2:uid="{00000000-000D-0000-FFFF-FFFF00000000}"/>
  </bookViews>
  <sheets>
    <sheet name="00_Read Me" sheetId="1" r:id="rId1"/>
    <sheet name="01_Inputs KPIs" sheetId="2" r:id="rId2"/>
    <sheet name="02_P&amp;L Variance" sheetId="3" r:id="rId3"/>
    <sheet name="03_PVM Bridge" sheetId="4" r:id="rId4"/>
    <sheet name="04_Labour Variance" sheetId="5" r:id="rId5"/>
    <sheet name="05_Scenarios" sheetId="6" r:id="rId6"/>
    <sheet name="06_Returns Sensitivity" sheetId="7" r:id="rId7"/>
    <sheet name="07_Benefits Tracker" sheetId="8" r:id="rId8"/>
    <sheet name="08_Executive Summary" sheetId="9" r:id="rId9"/>
    <sheet name="09_Formula Guide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7" i="9" l="1"/>
  <c r="D12" i="9"/>
  <c r="B12" i="9"/>
  <c r="M6" i="8"/>
  <c r="H6" i="8"/>
  <c r="F30" i="7"/>
  <c r="E30" i="7"/>
  <c r="D30" i="7"/>
  <c r="C30" i="7"/>
  <c r="B30" i="7"/>
  <c r="B8" i="7"/>
  <c r="B17" i="7" s="1"/>
  <c r="D7" i="7"/>
  <c r="C7" i="7"/>
  <c r="B7" i="7"/>
  <c r="F44" i="6"/>
  <c r="E44" i="6"/>
  <c r="D44" i="6"/>
  <c r="C44" i="6"/>
  <c r="D43" i="6"/>
  <c r="B20" i="7" s="1"/>
  <c r="C43" i="6"/>
  <c r="D42" i="6"/>
  <c r="C42" i="6"/>
  <c r="D41" i="6"/>
  <c r="B6" i="7" s="1"/>
  <c r="C41" i="6"/>
  <c r="D40" i="6"/>
  <c r="C40" i="6"/>
  <c r="F35" i="6"/>
  <c r="E35" i="6"/>
  <c r="D35" i="6"/>
  <c r="C35" i="6"/>
  <c r="E34" i="6"/>
  <c r="E36" i="6" s="1"/>
  <c r="F33" i="6"/>
  <c r="E33" i="6"/>
  <c r="D33" i="6"/>
  <c r="C33" i="6"/>
  <c r="F32" i="6"/>
  <c r="E32" i="6"/>
  <c r="D32" i="6"/>
  <c r="C32" i="6"/>
  <c r="F31" i="6"/>
  <c r="F34" i="6" s="1"/>
  <c r="F36" i="6" s="1"/>
  <c r="E31" i="6"/>
  <c r="D31" i="6"/>
  <c r="D34" i="6" s="1"/>
  <c r="D36" i="6" s="1"/>
  <c r="C31" i="6"/>
  <c r="C34" i="6" s="1"/>
  <c r="C36" i="6" s="1"/>
  <c r="F28" i="6"/>
  <c r="F29" i="6" s="1"/>
  <c r="F30" i="6" s="1"/>
  <c r="F37" i="6" s="1"/>
  <c r="E28" i="6"/>
  <c r="E29" i="6" s="1"/>
  <c r="E30" i="6" s="1"/>
  <c r="E37" i="6" s="1"/>
  <c r="D28" i="6"/>
  <c r="D29" i="6" s="1"/>
  <c r="D30" i="6" s="1"/>
  <c r="D37" i="6" s="1"/>
  <c r="C28" i="6"/>
  <c r="C29" i="6" s="1"/>
  <c r="C30" i="6" s="1"/>
  <c r="C37" i="6" s="1"/>
  <c r="D12" i="5"/>
  <c r="J10" i="5"/>
  <c r="J8" i="5"/>
  <c r="I8" i="5"/>
  <c r="H8" i="5"/>
  <c r="G8" i="5"/>
  <c r="D8" i="5"/>
  <c r="I7" i="5"/>
  <c r="H7" i="5"/>
  <c r="J7" i="5" s="1"/>
  <c r="G7" i="5"/>
  <c r="D7" i="5"/>
  <c r="I6" i="5"/>
  <c r="H6" i="5"/>
  <c r="J6" i="5" s="1"/>
  <c r="G6" i="5"/>
  <c r="G12" i="5" s="1"/>
  <c r="D6" i="5"/>
  <c r="L9" i="4"/>
  <c r="B16" i="4" s="1"/>
  <c r="F9" i="4"/>
  <c r="B9" i="4"/>
  <c r="E6" i="4" s="1"/>
  <c r="E9" i="4" s="1"/>
  <c r="L8" i="4"/>
  <c r="H8" i="4"/>
  <c r="E8" i="4"/>
  <c r="D8" i="4"/>
  <c r="L7" i="4"/>
  <c r="I7" i="4"/>
  <c r="K7" i="4" s="1"/>
  <c r="H7" i="4"/>
  <c r="H9" i="4" s="1"/>
  <c r="E7" i="4"/>
  <c r="D7" i="4"/>
  <c r="L6" i="4"/>
  <c r="H6" i="4"/>
  <c r="D6" i="4"/>
  <c r="D9" i="4" s="1"/>
  <c r="G20" i="3"/>
  <c r="F20" i="3"/>
  <c r="E20" i="3"/>
  <c r="H20" i="3" s="1"/>
  <c r="D20" i="3"/>
  <c r="C20" i="3"/>
  <c r="F19" i="3"/>
  <c r="G19" i="3" s="1"/>
  <c r="E19" i="3"/>
  <c r="H19" i="3" s="1"/>
  <c r="D19" i="3"/>
  <c r="C19" i="3"/>
  <c r="G18" i="3"/>
  <c r="F18" i="3"/>
  <c r="E18" i="3"/>
  <c r="D18" i="3"/>
  <c r="C18" i="3"/>
  <c r="H18" i="3" s="1"/>
  <c r="H15" i="3"/>
  <c r="E15" i="3"/>
  <c r="D15" i="3"/>
  <c r="C15" i="3"/>
  <c r="F15" i="3" s="1"/>
  <c r="G15" i="3" s="1"/>
  <c r="H14" i="3"/>
  <c r="E14" i="3"/>
  <c r="D14" i="3"/>
  <c r="C14" i="3"/>
  <c r="F14" i="3" s="1"/>
  <c r="G14" i="3" s="1"/>
  <c r="E13" i="3"/>
  <c r="D13" i="3"/>
  <c r="C13" i="3"/>
  <c r="H13" i="3" s="1"/>
  <c r="E12" i="3"/>
  <c r="E16" i="3" s="1"/>
  <c r="E22" i="3" s="1"/>
  <c r="D12" i="3"/>
  <c r="D16" i="3" s="1"/>
  <c r="D22" i="3" s="1"/>
  <c r="C12" i="3"/>
  <c r="C16" i="3" s="1"/>
  <c r="F8" i="3"/>
  <c r="G8" i="3" s="1"/>
  <c r="E8" i="3"/>
  <c r="H8" i="3" s="1"/>
  <c r="D8" i="3"/>
  <c r="C8" i="3"/>
  <c r="F7" i="3"/>
  <c r="G7" i="3" s="1"/>
  <c r="E7" i="3"/>
  <c r="E10" i="3" s="1"/>
  <c r="D7" i="3"/>
  <c r="C7" i="3"/>
  <c r="E6" i="3"/>
  <c r="D6" i="3"/>
  <c r="D10" i="3" s="1"/>
  <c r="C6" i="3"/>
  <c r="H6" i="3" s="1"/>
  <c r="E35" i="2"/>
  <c r="D35" i="2"/>
  <c r="E34" i="2"/>
  <c r="E36" i="2" s="1"/>
  <c r="D34" i="2"/>
  <c r="D36" i="2" s="1"/>
  <c r="C34" i="2"/>
  <c r="G33" i="2"/>
  <c r="F33" i="2"/>
  <c r="E33" i="2"/>
  <c r="D33" i="2"/>
  <c r="C33" i="2"/>
  <c r="C35" i="2" s="1"/>
  <c r="F32" i="2"/>
  <c r="E32" i="2"/>
  <c r="G32" i="2" s="1"/>
  <c r="D32" i="2"/>
  <c r="C32" i="2"/>
  <c r="E31" i="2"/>
  <c r="G31" i="2" s="1"/>
  <c r="D31" i="2"/>
  <c r="F31" i="2" s="1"/>
  <c r="C31" i="2"/>
  <c r="F30" i="2"/>
  <c r="E30" i="2"/>
  <c r="G30" i="2" s="1"/>
  <c r="D30" i="2"/>
  <c r="C30" i="2"/>
  <c r="E29" i="2"/>
  <c r="G29" i="2" s="1"/>
  <c r="D29" i="2"/>
  <c r="F29" i="2" s="1"/>
  <c r="C29" i="2"/>
  <c r="G24" i="2"/>
  <c r="F24" i="2"/>
  <c r="G23" i="2"/>
  <c r="F23" i="2"/>
  <c r="G22" i="2"/>
  <c r="F22" i="2"/>
  <c r="G21" i="2"/>
  <c r="F21" i="2"/>
  <c r="G20" i="2"/>
  <c r="F20" i="2"/>
  <c r="G19" i="2"/>
  <c r="F19" i="2"/>
  <c r="G18" i="2"/>
  <c r="F18" i="2"/>
  <c r="G17" i="2"/>
  <c r="F17" i="2"/>
  <c r="G16" i="2"/>
  <c r="F16" i="2"/>
  <c r="G15" i="2"/>
  <c r="F15" i="2"/>
  <c r="G14" i="2"/>
  <c r="F14" i="2"/>
  <c r="G13" i="2"/>
  <c r="F13" i="2"/>
  <c r="G12" i="2"/>
  <c r="F12" i="2"/>
  <c r="G11" i="2"/>
  <c r="F11" i="2"/>
  <c r="G10" i="2"/>
  <c r="F10" i="2"/>
  <c r="G9" i="2"/>
  <c r="F9" i="2"/>
  <c r="E9" i="2"/>
  <c r="D9" i="2"/>
  <c r="C9" i="2"/>
  <c r="G8" i="2"/>
  <c r="F8" i="2"/>
  <c r="G7" i="2"/>
  <c r="F7" i="2"/>
  <c r="G6" i="2"/>
  <c r="F6" i="2"/>
  <c r="E24" i="3" l="1"/>
  <c r="G35" i="2"/>
  <c r="C36" i="2"/>
  <c r="F35" i="2"/>
  <c r="D38" i="6"/>
  <c r="D39" i="6"/>
  <c r="E40" i="6"/>
  <c r="E41" i="6" s="1"/>
  <c r="E38" i="6"/>
  <c r="E39" i="6"/>
  <c r="F40" i="6"/>
  <c r="F41" i="6" s="1"/>
  <c r="F39" i="6"/>
  <c r="F38" i="6"/>
  <c r="C9" i="4"/>
  <c r="J6" i="4" s="1"/>
  <c r="B13" i="4"/>
  <c r="J12" i="5"/>
  <c r="D15" i="5" s="1"/>
  <c r="H16" i="3"/>
  <c r="F16" i="3"/>
  <c r="C22" i="3"/>
  <c r="B20" i="4"/>
  <c r="C14" i="1" s="1"/>
  <c r="D14" i="1" s="1"/>
  <c r="B18" i="4"/>
  <c r="G9" i="4"/>
  <c r="D37" i="2"/>
  <c r="F36" i="2"/>
  <c r="D38" i="2"/>
  <c r="C38" i="6"/>
  <c r="C39" i="6"/>
  <c r="E37" i="2"/>
  <c r="E38" i="2"/>
  <c r="F10" i="3"/>
  <c r="D24" i="3"/>
  <c r="B7" i="9"/>
  <c r="B18" i="7"/>
  <c r="H7" i="3"/>
  <c r="F12" i="3"/>
  <c r="G12" i="3" s="1"/>
  <c r="J7" i="4"/>
  <c r="B9" i="7"/>
  <c r="F34" i="2"/>
  <c r="G34" i="2"/>
  <c r="H12" i="3"/>
  <c r="B10" i="7"/>
  <c r="B11" i="7" s="1"/>
  <c r="F13" i="3"/>
  <c r="G13" i="3" s="1"/>
  <c r="I8" i="4"/>
  <c r="K8" i="4" s="1"/>
  <c r="C10" i="3"/>
  <c r="C24" i="3" s="1"/>
  <c r="F6" i="3"/>
  <c r="G6" i="3" s="1"/>
  <c r="I6" i="4"/>
  <c r="B16" i="7"/>
  <c r="D6" i="7" l="1"/>
  <c r="F42" i="6"/>
  <c r="G6" i="8"/>
  <c r="F39" i="7"/>
  <c r="F42" i="7"/>
  <c r="E39" i="7"/>
  <c r="E42" i="7"/>
  <c r="D39" i="7"/>
  <c r="D42" i="7"/>
  <c r="C39" i="7"/>
  <c r="C42" i="7"/>
  <c r="B39" i="7"/>
  <c r="F31" i="7"/>
  <c r="C6" i="7"/>
  <c r="B42" i="7"/>
  <c r="F38" i="7"/>
  <c r="E31" i="7"/>
  <c r="F41" i="7"/>
  <c r="E38" i="7"/>
  <c r="D31" i="7"/>
  <c r="E41" i="7"/>
  <c r="D38" i="7"/>
  <c r="C31" i="7"/>
  <c r="D41" i="7"/>
  <c r="C38" i="7"/>
  <c r="B31" i="7"/>
  <c r="C41" i="7"/>
  <c r="B38" i="7"/>
  <c r="B40" i="7"/>
  <c r="B41" i="7"/>
  <c r="F40" i="7"/>
  <c r="E40" i="7"/>
  <c r="E42" i="6"/>
  <c r="D40" i="7"/>
  <c r="C40" i="7"/>
  <c r="C37" i="2"/>
  <c r="F37" i="2" s="1"/>
  <c r="C38" i="2"/>
  <c r="F38" i="2" s="1"/>
  <c r="G10" i="3"/>
  <c r="D7" i="9"/>
  <c r="G38" i="2"/>
  <c r="G16" i="3"/>
  <c r="D14" i="5"/>
  <c r="D16" i="5" s="1"/>
  <c r="C15" i="1" s="1"/>
  <c r="D15" i="1" s="1"/>
  <c r="E25" i="3"/>
  <c r="H25" i="3" s="1"/>
  <c r="H24" i="3"/>
  <c r="E26" i="3"/>
  <c r="B19" i="7"/>
  <c r="K6" i="4"/>
  <c r="K9" i="4" s="1"/>
  <c r="B15" i="4" s="1"/>
  <c r="I9" i="4"/>
  <c r="C25" i="3"/>
  <c r="D11" i="9" s="1"/>
  <c r="C26" i="3"/>
  <c r="H10" i="3"/>
  <c r="D25" i="3"/>
  <c r="F24" i="3"/>
  <c r="B8" i="9"/>
  <c r="D26" i="3"/>
  <c r="F26" i="3" s="1"/>
  <c r="G26" i="3" s="1"/>
  <c r="H22" i="3"/>
  <c r="F22" i="3"/>
  <c r="G22" i="3" s="1"/>
  <c r="J8" i="4"/>
  <c r="J9" i="4" s="1"/>
  <c r="B14" i="4" s="1"/>
  <c r="B17" i="4" s="1"/>
  <c r="B19" i="4" s="1"/>
  <c r="G36" i="2"/>
  <c r="G24" i="3" l="1"/>
  <c r="D8" i="9"/>
  <c r="C32" i="7"/>
  <c r="C33" i="7"/>
  <c r="B32" i="7"/>
  <c r="B33" i="7"/>
  <c r="F43" i="6"/>
  <c r="D20" i="7" s="1"/>
  <c r="D8" i="7"/>
  <c r="F25" i="7"/>
  <c r="E25" i="7"/>
  <c r="D25" i="7"/>
  <c r="G25" i="7"/>
  <c r="C25" i="7"/>
  <c r="B25" i="9"/>
  <c r="B25" i="7"/>
  <c r="E43" i="6"/>
  <c r="I6" i="8"/>
  <c r="H25" i="7"/>
  <c r="C8" i="7"/>
  <c r="E32" i="7"/>
  <c r="E33" i="7"/>
  <c r="G37" i="2"/>
  <c r="F25" i="3"/>
  <c r="G25" i="3" s="1"/>
  <c r="B11" i="9"/>
  <c r="D32" i="7"/>
  <c r="D33" i="7"/>
  <c r="H26" i="3"/>
  <c r="F32" i="7"/>
  <c r="F33" i="7"/>
  <c r="D25" i="9" l="1"/>
  <c r="C20" i="7"/>
  <c r="C16" i="7"/>
  <c r="C19" i="7" s="1"/>
  <c r="B27" i="9" s="1"/>
  <c r="C10" i="7"/>
  <c r="C11" i="7" s="1"/>
  <c r="D26" i="9" s="1"/>
  <c r="C17" i="7"/>
  <c r="C9" i="7"/>
  <c r="B26" i="9" s="1"/>
  <c r="C18" i="7"/>
  <c r="D16" i="7"/>
  <c r="D10" i="7"/>
  <c r="D11" i="7" s="1"/>
  <c r="D9" i="7"/>
  <c r="D18" i="7"/>
  <c r="D17" i="7"/>
  <c r="D19" i="7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Copilot</author>
  </authors>
  <commentList>
    <comment ref="C6" authorId="0" shapeId="0" xr:uid="{00000000-0006-0000-0100-000001000000}">
      <text>
        <r>
          <rPr>
            <sz val="11"/>
            <color theme="1"/>
            <rFont val="Calibri"/>
            <family val="2"/>
          </rPr>
          <t>Synthetic interview-training assumptions; not employer actual data.</t>
        </r>
      </text>
    </comment>
    <comment ref="D6" authorId="0" shapeId="0" xr:uid="{00000000-0006-0000-0100-000002000000}">
      <text>
        <r>
          <rPr>
            <sz val="11"/>
            <color theme="1"/>
            <rFont val="Calibri"/>
            <family val="2"/>
          </rPr>
          <t>Synthetic interview-training assumptions; not employer actual data.</t>
        </r>
      </text>
    </comment>
    <comment ref="E6" authorId="0" shapeId="0" xr:uid="{00000000-0006-0000-0100-000003000000}">
      <text>
        <r>
          <rPr>
            <sz val="11"/>
            <color theme="1"/>
            <rFont val="Calibri"/>
            <family val="2"/>
          </rPr>
          <t>Synthetic interview-training assumptions; not employer actual data.</t>
        </r>
      </text>
    </comment>
    <comment ref="C7" authorId="0" shapeId="0" xr:uid="{00000000-0006-0000-0100-000004000000}">
      <text>
        <r>
          <rPr>
            <sz val="11"/>
            <color theme="1"/>
            <rFont val="Calibri"/>
            <family val="2"/>
          </rPr>
          <t>Synthetic interview-training assumptions; not employer actual data.</t>
        </r>
      </text>
    </comment>
    <comment ref="D7" authorId="0" shapeId="0" xr:uid="{00000000-0006-0000-0100-000005000000}">
      <text>
        <r>
          <rPr>
            <sz val="11"/>
            <color theme="1"/>
            <rFont val="Calibri"/>
            <family val="2"/>
          </rPr>
          <t>Synthetic interview-training assumptions; not employer actual data.</t>
        </r>
      </text>
    </comment>
    <comment ref="E7" authorId="0" shapeId="0" xr:uid="{00000000-0006-0000-0100-000006000000}">
      <text>
        <r>
          <rPr>
            <sz val="11"/>
            <color theme="1"/>
            <rFont val="Calibri"/>
            <family val="2"/>
          </rPr>
          <t>Synthetic interview-training assumptions; not employer actual data.</t>
        </r>
      </text>
    </comment>
    <comment ref="C8" authorId="0" shapeId="0" xr:uid="{00000000-0006-0000-0100-000007000000}">
      <text>
        <r>
          <rPr>
            <sz val="11"/>
            <color theme="1"/>
            <rFont val="Calibri"/>
            <family val="2"/>
          </rPr>
          <t>Synthetic interview-training assumptions; not employer actual data.</t>
        </r>
      </text>
    </comment>
    <comment ref="D8" authorId="0" shapeId="0" xr:uid="{00000000-0006-0000-0100-000008000000}">
      <text>
        <r>
          <rPr>
            <sz val="11"/>
            <color theme="1"/>
            <rFont val="Calibri"/>
            <family val="2"/>
          </rPr>
          <t>Synthetic interview-training assumptions; not employer actual data.</t>
        </r>
      </text>
    </comment>
    <comment ref="E8" authorId="0" shapeId="0" xr:uid="{00000000-0006-0000-0100-000009000000}">
      <text>
        <r>
          <rPr>
            <sz val="11"/>
            <color theme="1"/>
            <rFont val="Calibri"/>
            <family val="2"/>
          </rPr>
          <t>Synthetic interview-training assumptions; not employer actual data.</t>
        </r>
      </text>
    </comment>
    <comment ref="C10" authorId="0" shapeId="0" xr:uid="{00000000-0006-0000-0100-00000A000000}">
      <text>
        <r>
          <rPr>
            <sz val="11"/>
            <color theme="1"/>
            <rFont val="Calibri"/>
            <family val="2"/>
          </rPr>
          <t>Synthetic interview-training assumptions; not employer actual data.</t>
        </r>
      </text>
    </comment>
    <comment ref="D10" authorId="0" shapeId="0" xr:uid="{00000000-0006-0000-0100-00000B000000}">
      <text>
        <r>
          <rPr>
            <sz val="11"/>
            <color theme="1"/>
            <rFont val="Calibri"/>
            <family val="2"/>
          </rPr>
          <t>Synthetic interview-training assumptions; not employer actual data.</t>
        </r>
      </text>
    </comment>
    <comment ref="E10" authorId="0" shapeId="0" xr:uid="{00000000-0006-0000-0100-00000C000000}">
      <text>
        <r>
          <rPr>
            <sz val="11"/>
            <color theme="1"/>
            <rFont val="Calibri"/>
            <family val="2"/>
          </rPr>
          <t>Synthetic interview-training assumptions; not employer actual data.</t>
        </r>
      </text>
    </comment>
    <comment ref="C11" authorId="0" shapeId="0" xr:uid="{00000000-0006-0000-0100-00000D000000}">
      <text>
        <r>
          <rPr>
            <sz val="11"/>
            <color theme="1"/>
            <rFont val="Calibri"/>
            <family val="2"/>
          </rPr>
          <t>Synthetic interview-training assumptions; not employer actual data.</t>
        </r>
      </text>
    </comment>
    <comment ref="D11" authorId="0" shapeId="0" xr:uid="{00000000-0006-0000-0100-00000E000000}">
      <text>
        <r>
          <rPr>
            <sz val="11"/>
            <color theme="1"/>
            <rFont val="Calibri"/>
            <family val="2"/>
          </rPr>
          <t>Synthetic interview-training assumptions; not employer actual data.</t>
        </r>
      </text>
    </comment>
    <comment ref="E11" authorId="0" shapeId="0" xr:uid="{00000000-0006-0000-0100-00000F000000}">
      <text>
        <r>
          <rPr>
            <sz val="11"/>
            <color theme="1"/>
            <rFont val="Calibri"/>
            <family val="2"/>
          </rPr>
          <t>Synthetic interview-training assumptions; not employer actual data.</t>
        </r>
      </text>
    </comment>
    <comment ref="C12" authorId="0" shapeId="0" xr:uid="{00000000-0006-0000-0100-000010000000}">
      <text>
        <r>
          <rPr>
            <sz val="11"/>
            <color theme="1"/>
            <rFont val="Calibri"/>
            <family val="2"/>
          </rPr>
          <t>Synthetic interview-training assumptions; not employer actual data.</t>
        </r>
      </text>
    </comment>
    <comment ref="D12" authorId="0" shapeId="0" xr:uid="{00000000-0006-0000-0100-000011000000}">
      <text>
        <r>
          <rPr>
            <sz val="11"/>
            <color theme="1"/>
            <rFont val="Calibri"/>
            <family val="2"/>
          </rPr>
          <t>Synthetic interview-training assumptions; not employer actual data.</t>
        </r>
      </text>
    </comment>
    <comment ref="E12" authorId="0" shapeId="0" xr:uid="{00000000-0006-0000-0100-000012000000}">
      <text>
        <r>
          <rPr>
            <sz val="11"/>
            <color theme="1"/>
            <rFont val="Calibri"/>
            <family val="2"/>
          </rPr>
          <t>Synthetic interview-training assumptions; not employer actual data.</t>
        </r>
      </text>
    </comment>
    <comment ref="C13" authorId="0" shapeId="0" xr:uid="{00000000-0006-0000-0100-000013000000}">
      <text>
        <r>
          <rPr>
            <sz val="11"/>
            <color theme="1"/>
            <rFont val="Calibri"/>
            <family val="2"/>
          </rPr>
          <t>Synthetic interview-training assumptions; not employer actual data.</t>
        </r>
      </text>
    </comment>
    <comment ref="D13" authorId="0" shapeId="0" xr:uid="{00000000-0006-0000-0100-000014000000}">
      <text>
        <r>
          <rPr>
            <sz val="11"/>
            <color theme="1"/>
            <rFont val="Calibri"/>
            <family val="2"/>
          </rPr>
          <t>Synthetic interview-training assumptions; not employer actual data.</t>
        </r>
      </text>
    </comment>
    <comment ref="E13" authorId="0" shapeId="0" xr:uid="{00000000-0006-0000-0100-000015000000}">
      <text>
        <r>
          <rPr>
            <sz val="11"/>
            <color theme="1"/>
            <rFont val="Calibri"/>
            <family val="2"/>
          </rPr>
          <t>Synthetic interview-training assumptions; not employer actual data.</t>
        </r>
      </text>
    </comment>
    <comment ref="C14" authorId="0" shapeId="0" xr:uid="{00000000-0006-0000-0100-000016000000}">
      <text>
        <r>
          <rPr>
            <sz val="11"/>
            <color theme="1"/>
            <rFont val="Calibri"/>
            <family val="2"/>
          </rPr>
          <t>Synthetic interview-training assumptions; not employer actual data.</t>
        </r>
      </text>
    </comment>
    <comment ref="D14" authorId="0" shapeId="0" xr:uid="{00000000-0006-0000-0100-000017000000}">
      <text>
        <r>
          <rPr>
            <sz val="11"/>
            <color theme="1"/>
            <rFont val="Calibri"/>
            <family val="2"/>
          </rPr>
          <t>Synthetic interview-training assumptions; not employer actual data.</t>
        </r>
      </text>
    </comment>
    <comment ref="E14" authorId="0" shapeId="0" xr:uid="{00000000-0006-0000-0100-000018000000}">
      <text>
        <r>
          <rPr>
            <sz val="11"/>
            <color theme="1"/>
            <rFont val="Calibri"/>
            <family val="2"/>
          </rPr>
          <t>Synthetic interview-training assumptions; not employer actual data.</t>
        </r>
      </text>
    </comment>
    <comment ref="C15" authorId="0" shapeId="0" xr:uid="{00000000-0006-0000-0100-000019000000}">
      <text>
        <r>
          <rPr>
            <sz val="11"/>
            <color theme="1"/>
            <rFont val="Calibri"/>
            <family val="2"/>
          </rPr>
          <t>Synthetic interview-training assumptions; not employer actual data.</t>
        </r>
      </text>
    </comment>
    <comment ref="D15" authorId="0" shapeId="0" xr:uid="{00000000-0006-0000-0100-00001A000000}">
      <text>
        <r>
          <rPr>
            <sz val="11"/>
            <color theme="1"/>
            <rFont val="Calibri"/>
            <family val="2"/>
          </rPr>
          <t>Synthetic interview-training assumptions; not employer actual data.</t>
        </r>
      </text>
    </comment>
    <comment ref="E15" authorId="0" shapeId="0" xr:uid="{00000000-0006-0000-0100-00001B000000}">
      <text>
        <r>
          <rPr>
            <sz val="11"/>
            <color theme="1"/>
            <rFont val="Calibri"/>
            <family val="2"/>
          </rPr>
          <t>Synthetic interview-training assumptions; not employer actual data.</t>
        </r>
      </text>
    </comment>
    <comment ref="C16" authorId="0" shapeId="0" xr:uid="{00000000-0006-0000-0100-00001C000000}">
      <text>
        <r>
          <rPr>
            <sz val="11"/>
            <color theme="1"/>
            <rFont val="Calibri"/>
            <family val="2"/>
          </rPr>
          <t>Synthetic interview-training assumptions; not employer actual data.</t>
        </r>
      </text>
    </comment>
    <comment ref="D16" authorId="0" shapeId="0" xr:uid="{00000000-0006-0000-0100-00001D000000}">
      <text>
        <r>
          <rPr>
            <sz val="11"/>
            <color theme="1"/>
            <rFont val="Calibri"/>
            <family val="2"/>
          </rPr>
          <t>Synthetic interview-training assumptions; not employer actual data.</t>
        </r>
      </text>
    </comment>
    <comment ref="E16" authorId="0" shapeId="0" xr:uid="{00000000-0006-0000-0100-00001E000000}">
      <text>
        <r>
          <rPr>
            <sz val="11"/>
            <color theme="1"/>
            <rFont val="Calibri"/>
            <family val="2"/>
          </rPr>
          <t>Synthetic interview-training assumptions; not employer actual data.</t>
        </r>
      </text>
    </comment>
    <comment ref="C17" authorId="0" shapeId="0" xr:uid="{00000000-0006-0000-0100-00001F000000}">
      <text>
        <r>
          <rPr>
            <sz val="11"/>
            <color theme="1"/>
            <rFont val="Calibri"/>
            <family val="2"/>
          </rPr>
          <t>Synthetic interview-training assumptions; not employer actual data.</t>
        </r>
      </text>
    </comment>
    <comment ref="D17" authorId="0" shapeId="0" xr:uid="{00000000-0006-0000-0100-000020000000}">
      <text>
        <r>
          <rPr>
            <sz val="11"/>
            <color theme="1"/>
            <rFont val="Calibri"/>
            <family val="2"/>
          </rPr>
          <t>Synthetic interview-training assumptions; not employer actual data.</t>
        </r>
      </text>
    </comment>
    <comment ref="E17" authorId="0" shapeId="0" xr:uid="{00000000-0006-0000-0100-000021000000}">
      <text>
        <r>
          <rPr>
            <sz val="11"/>
            <color theme="1"/>
            <rFont val="Calibri"/>
            <family val="2"/>
          </rPr>
          <t>Synthetic interview-training assumptions; not employer actual data.</t>
        </r>
      </text>
    </comment>
    <comment ref="C18" authorId="0" shapeId="0" xr:uid="{00000000-0006-0000-0100-000022000000}">
      <text>
        <r>
          <rPr>
            <sz val="11"/>
            <color theme="1"/>
            <rFont val="Calibri"/>
            <family val="2"/>
          </rPr>
          <t>Synthetic interview-training assumptions; not employer actual data.</t>
        </r>
      </text>
    </comment>
    <comment ref="D18" authorId="0" shapeId="0" xr:uid="{00000000-0006-0000-0100-000023000000}">
      <text>
        <r>
          <rPr>
            <sz val="11"/>
            <color theme="1"/>
            <rFont val="Calibri"/>
            <family val="2"/>
          </rPr>
          <t>Synthetic interview-training assumptions; not employer actual data.</t>
        </r>
      </text>
    </comment>
    <comment ref="E18" authorId="0" shapeId="0" xr:uid="{00000000-0006-0000-0100-000024000000}">
      <text>
        <r>
          <rPr>
            <sz val="11"/>
            <color theme="1"/>
            <rFont val="Calibri"/>
            <family val="2"/>
          </rPr>
          <t>Synthetic interview-training assumptions; not employer actual data.</t>
        </r>
      </text>
    </comment>
    <comment ref="C19" authorId="0" shapeId="0" xr:uid="{00000000-0006-0000-0100-000025000000}">
      <text>
        <r>
          <rPr>
            <sz val="11"/>
            <color theme="1"/>
            <rFont val="Calibri"/>
            <family val="2"/>
          </rPr>
          <t>Synthetic interview-training assumptions; not employer actual data.</t>
        </r>
      </text>
    </comment>
    <comment ref="D19" authorId="0" shapeId="0" xr:uid="{00000000-0006-0000-0100-000026000000}">
      <text>
        <r>
          <rPr>
            <sz val="11"/>
            <color theme="1"/>
            <rFont val="Calibri"/>
            <family val="2"/>
          </rPr>
          <t>Synthetic interview-training assumptions; not employer actual data.</t>
        </r>
      </text>
    </comment>
    <comment ref="E19" authorId="0" shapeId="0" xr:uid="{00000000-0006-0000-0100-000027000000}">
      <text>
        <r>
          <rPr>
            <sz val="11"/>
            <color theme="1"/>
            <rFont val="Calibri"/>
            <family val="2"/>
          </rPr>
          <t>Synthetic interview-training assumptions; not employer actual data.</t>
        </r>
      </text>
    </comment>
    <comment ref="C20" authorId="0" shapeId="0" xr:uid="{00000000-0006-0000-0100-000028000000}">
      <text>
        <r>
          <rPr>
            <sz val="11"/>
            <color theme="1"/>
            <rFont val="Calibri"/>
            <family val="2"/>
          </rPr>
          <t>Synthetic interview-training assumptions; not employer actual data.</t>
        </r>
      </text>
    </comment>
    <comment ref="D20" authorId="0" shapeId="0" xr:uid="{00000000-0006-0000-0100-000029000000}">
      <text>
        <r>
          <rPr>
            <sz val="11"/>
            <color theme="1"/>
            <rFont val="Calibri"/>
            <family val="2"/>
          </rPr>
          <t>Synthetic interview-training assumptions; not employer actual data.</t>
        </r>
      </text>
    </comment>
    <comment ref="E20" authorId="0" shapeId="0" xr:uid="{00000000-0006-0000-0100-00002A000000}">
      <text>
        <r>
          <rPr>
            <sz val="11"/>
            <color theme="1"/>
            <rFont val="Calibri"/>
            <family val="2"/>
          </rPr>
          <t>Synthetic interview-training assumptions; not employer actual data.</t>
        </r>
      </text>
    </comment>
    <comment ref="C21" authorId="0" shapeId="0" xr:uid="{00000000-0006-0000-0100-00002B000000}">
      <text>
        <r>
          <rPr>
            <sz val="11"/>
            <color theme="1"/>
            <rFont val="Calibri"/>
            <family val="2"/>
          </rPr>
          <t>Synthetic interview-training assumptions; not employer actual data.</t>
        </r>
      </text>
    </comment>
    <comment ref="D21" authorId="0" shapeId="0" xr:uid="{00000000-0006-0000-0100-00002C000000}">
      <text>
        <r>
          <rPr>
            <sz val="11"/>
            <color theme="1"/>
            <rFont val="Calibri"/>
            <family val="2"/>
          </rPr>
          <t>Synthetic interview-training assumptions; not employer actual data.</t>
        </r>
      </text>
    </comment>
    <comment ref="E21" authorId="0" shapeId="0" xr:uid="{00000000-0006-0000-0100-00002D000000}">
      <text>
        <r>
          <rPr>
            <sz val="11"/>
            <color theme="1"/>
            <rFont val="Calibri"/>
            <family val="2"/>
          </rPr>
          <t>Synthetic interview-training assumptions; not employer actual data.</t>
        </r>
      </text>
    </comment>
    <comment ref="C22" authorId="0" shapeId="0" xr:uid="{00000000-0006-0000-0100-00002E000000}">
      <text>
        <r>
          <rPr>
            <sz val="11"/>
            <color theme="1"/>
            <rFont val="Calibri"/>
            <family val="2"/>
          </rPr>
          <t>Synthetic interview-training assumptions; not employer actual data.</t>
        </r>
      </text>
    </comment>
    <comment ref="D22" authorId="0" shapeId="0" xr:uid="{00000000-0006-0000-0100-00002F000000}">
      <text>
        <r>
          <rPr>
            <sz val="11"/>
            <color theme="1"/>
            <rFont val="Calibri"/>
            <family val="2"/>
          </rPr>
          <t>Synthetic interview-training assumptions; not employer actual data.</t>
        </r>
      </text>
    </comment>
    <comment ref="E22" authorId="0" shapeId="0" xr:uid="{00000000-0006-0000-0100-000030000000}">
      <text>
        <r>
          <rPr>
            <sz val="11"/>
            <color theme="1"/>
            <rFont val="Calibri"/>
            <family val="2"/>
          </rPr>
          <t>Synthetic interview-training assumptions; not employer actual data.</t>
        </r>
      </text>
    </comment>
    <comment ref="C23" authorId="0" shapeId="0" xr:uid="{00000000-0006-0000-0100-000031000000}">
      <text>
        <r>
          <rPr>
            <sz val="11"/>
            <color theme="1"/>
            <rFont val="Calibri"/>
            <family val="2"/>
          </rPr>
          <t>Synthetic interview-training assumptions; not employer actual data.</t>
        </r>
      </text>
    </comment>
    <comment ref="D23" authorId="0" shapeId="0" xr:uid="{00000000-0006-0000-0100-000032000000}">
      <text>
        <r>
          <rPr>
            <sz val="11"/>
            <color theme="1"/>
            <rFont val="Calibri"/>
            <family val="2"/>
          </rPr>
          <t>Synthetic interview-training assumptions; not employer actual data.</t>
        </r>
      </text>
    </comment>
    <comment ref="E23" authorId="0" shapeId="0" xr:uid="{00000000-0006-0000-0100-000033000000}">
      <text>
        <r>
          <rPr>
            <sz val="11"/>
            <color theme="1"/>
            <rFont val="Calibri"/>
            <family val="2"/>
          </rPr>
          <t>Synthetic interview-training assumptions; not employer actual data.</t>
        </r>
      </text>
    </comment>
    <comment ref="C24" authorId="0" shapeId="0" xr:uid="{00000000-0006-0000-0100-000034000000}">
      <text>
        <r>
          <rPr>
            <sz val="11"/>
            <color theme="1"/>
            <rFont val="Calibri"/>
            <family val="2"/>
          </rPr>
          <t>Synthetic interview-training assumptions; not employer actual data.</t>
        </r>
      </text>
    </comment>
    <comment ref="D24" authorId="0" shapeId="0" xr:uid="{00000000-0006-0000-0100-000035000000}">
      <text>
        <r>
          <rPr>
            <sz val="11"/>
            <color theme="1"/>
            <rFont val="Calibri"/>
            <family val="2"/>
          </rPr>
          <t>Synthetic interview-training assumptions; not employer actual data.</t>
        </r>
      </text>
    </comment>
    <comment ref="E24" authorId="0" shapeId="0" xr:uid="{00000000-0006-0000-0100-000036000000}">
      <text>
        <r>
          <rPr>
            <sz val="11"/>
            <color theme="1"/>
            <rFont val="Calibri"/>
            <family val="2"/>
          </rPr>
          <t>Synthetic interview-training assumptions; not employer actual data.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Copilot</author>
  </authors>
  <commentList>
    <comment ref="B6" authorId="0" shapeId="0" xr:uid="{00000000-0006-0000-0300-000001000000}">
      <text>
        <r>
          <rPr>
            <sz val="11"/>
            <color theme="1"/>
            <rFont val="Calibri"/>
            <family val="2"/>
          </rPr>
          <t>Synthetic interview-training assumptions; not employer actual data.</t>
        </r>
      </text>
    </comment>
    <comment ref="C6" authorId="0" shapeId="0" xr:uid="{00000000-0006-0000-0300-000002000000}">
      <text>
        <r>
          <rPr>
            <sz val="11"/>
            <color theme="1"/>
            <rFont val="Calibri"/>
            <family val="2"/>
          </rPr>
          <t>Synthetic interview-training assumptions; not employer actual data.</t>
        </r>
      </text>
    </comment>
    <comment ref="F6" authorId="0" shapeId="0" xr:uid="{00000000-0006-0000-0300-000003000000}">
      <text>
        <r>
          <rPr>
            <sz val="11"/>
            <color theme="1"/>
            <rFont val="Calibri"/>
            <family val="2"/>
          </rPr>
          <t>Synthetic interview-training assumptions; not employer actual data.</t>
        </r>
      </text>
    </comment>
    <comment ref="G6" authorId="0" shapeId="0" xr:uid="{00000000-0006-0000-0300-000004000000}">
      <text>
        <r>
          <rPr>
            <sz val="11"/>
            <color theme="1"/>
            <rFont val="Calibri"/>
            <family val="2"/>
          </rPr>
          <t>Synthetic interview-training assumptions; not employer actual data.</t>
        </r>
      </text>
    </comment>
    <comment ref="B7" authorId="0" shapeId="0" xr:uid="{00000000-0006-0000-0300-000005000000}">
      <text>
        <r>
          <rPr>
            <sz val="11"/>
            <color theme="1"/>
            <rFont val="Calibri"/>
            <family val="2"/>
          </rPr>
          <t>Synthetic interview-training assumptions; not employer actual data.</t>
        </r>
      </text>
    </comment>
    <comment ref="C7" authorId="0" shapeId="0" xr:uid="{00000000-0006-0000-0300-000006000000}">
      <text>
        <r>
          <rPr>
            <sz val="11"/>
            <color theme="1"/>
            <rFont val="Calibri"/>
            <family val="2"/>
          </rPr>
          <t>Synthetic interview-training assumptions; not employer actual data.</t>
        </r>
      </text>
    </comment>
    <comment ref="F7" authorId="0" shapeId="0" xr:uid="{00000000-0006-0000-0300-000007000000}">
      <text>
        <r>
          <rPr>
            <sz val="11"/>
            <color theme="1"/>
            <rFont val="Calibri"/>
            <family val="2"/>
          </rPr>
          <t>Synthetic interview-training assumptions; not employer actual data.</t>
        </r>
      </text>
    </comment>
    <comment ref="G7" authorId="0" shapeId="0" xr:uid="{00000000-0006-0000-0300-000008000000}">
      <text>
        <r>
          <rPr>
            <sz val="11"/>
            <color theme="1"/>
            <rFont val="Calibri"/>
            <family val="2"/>
          </rPr>
          <t>Synthetic interview-training assumptions; not employer actual data.</t>
        </r>
      </text>
    </comment>
    <comment ref="B8" authorId="0" shapeId="0" xr:uid="{00000000-0006-0000-0300-000009000000}">
      <text>
        <r>
          <rPr>
            <sz val="11"/>
            <color theme="1"/>
            <rFont val="Calibri"/>
            <family val="2"/>
          </rPr>
          <t>Synthetic interview-training assumptions; not employer actual data.</t>
        </r>
      </text>
    </comment>
    <comment ref="C8" authorId="0" shapeId="0" xr:uid="{00000000-0006-0000-0300-00000A000000}">
      <text>
        <r>
          <rPr>
            <sz val="11"/>
            <color theme="1"/>
            <rFont val="Calibri"/>
            <family val="2"/>
          </rPr>
          <t>Synthetic interview-training assumptions; not employer actual data.</t>
        </r>
      </text>
    </comment>
    <comment ref="F8" authorId="0" shapeId="0" xr:uid="{00000000-0006-0000-0300-00000B000000}">
      <text>
        <r>
          <rPr>
            <sz val="11"/>
            <color theme="1"/>
            <rFont val="Calibri"/>
            <family val="2"/>
          </rPr>
          <t>Synthetic interview-training assumptions; not employer actual data.</t>
        </r>
      </text>
    </comment>
    <comment ref="G8" authorId="0" shapeId="0" xr:uid="{00000000-0006-0000-0300-00000C000000}">
      <text>
        <r>
          <rPr>
            <sz val="11"/>
            <color theme="1"/>
            <rFont val="Calibri"/>
            <family val="2"/>
          </rPr>
          <t>Synthetic interview-training assumptions; not employer actual data.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Copilot</author>
  </authors>
  <commentList>
    <comment ref="B6" authorId="0" shapeId="0" xr:uid="{00000000-0006-0000-0400-000001000000}">
      <text>
        <r>
          <rPr>
            <sz val="11"/>
            <color theme="1"/>
            <rFont val="Calibri"/>
            <family val="2"/>
          </rPr>
          <t>Synthetic interview-training assumptions; not employer actual data.</t>
        </r>
      </text>
    </comment>
    <comment ref="C6" authorId="0" shapeId="0" xr:uid="{00000000-0006-0000-0400-000002000000}">
      <text>
        <r>
          <rPr>
            <sz val="11"/>
            <color theme="1"/>
            <rFont val="Calibri"/>
            <family val="2"/>
          </rPr>
          <t>Synthetic interview-training assumptions; not employer actual data.</t>
        </r>
      </text>
    </comment>
    <comment ref="E6" authorId="0" shapeId="0" xr:uid="{00000000-0006-0000-0400-000003000000}">
      <text>
        <r>
          <rPr>
            <sz val="11"/>
            <color theme="1"/>
            <rFont val="Calibri"/>
            <family val="2"/>
          </rPr>
          <t>Synthetic interview-training assumptions; not employer actual data.</t>
        </r>
      </text>
    </comment>
    <comment ref="F6" authorId="0" shapeId="0" xr:uid="{00000000-0006-0000-0400-000004000000}">
      <text>
        <r>
          <rPr>
            <sz val="11"/>
            <color theme="1"/>
            <rFont val="Calibri"/>
            <family val="2"/>
          </rPr>
          <t>Synthetic interview-training assumptions; not employer actual data.</t>
        </r>
      </text>
    </comment>
    <comment ref="B7" authorId="0" shapeId="0" xr:uid="{00000000-0006-0000-0400-000005000000}">
      <text>
        <r>
          <rPr>
            <sz val="11"/>
            <color theme="1"/>
            <rFont val="Calibri"/>
            <family val="2"/>
          </rPr>
          <t>Synthetic interview-training assumptions; not employer actual data.</t>
        </r>
      </text>
    </comment>
    <comment ref="C7" authorId="0" shapeId="0" xr:uid="{00000000-0006-0000-0400-000006000000}">
      <text>
        <r>
          <rPr>
            <sz val="11"/>
            <color theme="1"/>
            <rFont val="Calibri"/>
            <family val="2"/>
          </rPr>
          <t>Synthetic interview-training assumptions; not employer actual data.</t>
        </r>
      </text>
    </comment>
    <comment ref="E7" authorId="0" shapeId="0" xr:uid="{00000000-0006-0000-0400-000007000000}">
      <text>
        <r>
          <rPr>
            <sz val="11"/>
            <color theme="1"/>
            <rFont val="Calibri"/>
            <family val="2"/>
          </rPr>
          <t>Synthetic interview-training assumptions; not employer actual data.</t>
        </r>
      </text>
    </comment>
    <comment ref="F7" authorId="0" shapeId="0" xr:uid="{00000000-0006-0000-0400-000008000000}">
      <text>
        <r>
          <rPr>
            <sz val="11"/>
            <color theme="1"/>
            <rFont val="Calibri"/>
            <family val="2"/>
          </rPr>
          <t>Synthetic interview-training assumptions; not employer actual data.</t>
        </r>
      </text>
    </comment>
    <comment ref="B8" authorId="0" shapeId="0" xr:uid="{00000000-0006-0000-0400-000009000000}">
      <text>
        <r>
          <rPr>
            <sz val="11"/>
            <color theme="1"/>
            <rFont val="Calibri"/>
            <family val="2"/>
          </rPr>
          <t>Synthetic interview-training assumptions; not employer actual data.</t>
        </r>
      </text>
    </comment>
    <comment ref="C8" authorId="0" shapeId="0" xr:uid="{00000000-0006-0000-0400-00000A000000}">
      <text>
        <r>
          <rPr>
            <sz val="11"/>
            <color theme="1"/>
            <rFont val="Calibri"/>
            <family val="2"/>
          </rPr>
          <t>Synthetic interview-training assumptions; not employer actual data.</t>
        </r>
      </text>
    </comment>
    <comment ref="E8" authorId="0" shapeId="0" xr:uid="{00000000-0006-0000-0400-00000B000000}">
      <text>
        <r>
          <rPr>
            <sz val="11"/>
            <color theme="1"/>
            <rFont val="Calibri"/>
            <family val="2"/>
          </rPr>
          <t>Synthetic interview-training assumptions; not employer actual data.</t>
        </r>
      </text>
    </comment>
    <comment ref="F8" authorId="0" shapeId="0" xr:uid="{00000000-0006-0000-0400-00000C000000}">
      <text>
        <r>
          <rPr>
            <sz val="11"/>
            <color theme="1"/>
            <rFont val="Calibri"/>
            <family val="2"/>
          </rPr>
          <t>Synthetic interview-training assumptions; not employer actual data.</t>
        </r>
      </text>
    </comment>
    <comment ref="D10" authorId="0" shapeId="0" xr:uid="{00000000-0006-0000-0400-00000D000000}">
      <text>
        <r>
          <rPr>
            <sz val="11"/>
            <color theme="1"/>
            <rFont val="Calibri"/>
            <family val="2"/>
          </rPr>
          <t>Synthetic interview-training assumptions; not employer actual data.</t>
        </r>
      </text>
    </comment>
    <comment ref="G10" authorId="0" shapeId="0" xr:uid="{00000000-0006-0000-0400-00000E000000}">
      <text>
        <r>
          <rPr>
            <sz val="11"/>
            <color theme="1"/>
            <rFont val="Calibri"/>
            <family val="2"/>
          </rPr>
          <t>Synthetic interview-training assumptions; not employer actual data.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Copilot</author>
  </authors>
  <commentList>
    <comment ref="C6" authorId="0" shapeId="0" xr:uid="{00000000-0006-0000-0500-000001000000}">
      <text>
        <r>
          <rPr>
            <sz val="11"/>
            <color theme="1"/>
            <rFont val="Calibri"/>
            <family val="2"/>
          </rPr>
          <t>Synthetic interview-training assumptions; not employer actual data.</t>
        </r>
      </text>
    </comment>
    <comment ref="D6" authorId="0" shapeId="0" xr:uid="{00000000-0006-0000-0500-000002000000}">
      <text>
        <r>
          <rPr>
            <sz val="11"/>
            <color theme="1"/>
            <rFont val="Calibri"/>
            <family val="2"/>
          </rPr>
          <t>Synthetic interview-training assumptions; not employer actual data.</t>
        </r>
      </text>
    </comment>
    <comment ref="E6" authorId="0" shapeId="0" xr:uid="{00000000-0006-0000-0500-000003000000}">
      <text>
        <r>
          <rPr>
            <sz val="11"/>
            <color theme="1"/>
            <rFont val="Calibri"/>
            <family val="2"/>
          </rPr>
          <t>Synthetic interview-training assumptions; not employer actual data.</t>
        </r>
      </text>
    </comment>
    <comment ref="F6" authorId="0" shapeId="0" xr:uid="{00000000-0006-0000-0500-000004000000}">
      <text>
        <r>
          <rPr>
            <sz val="11"/>
            <color theme="1"/>
            <rFont val="Calibri"/>
            <family val="2"/>
          </rPr>
          <t>Synthetic interview-training assumptions; not employer actual data.</t>
        </r>
      </text>
    </comment>
    <comment ref="C7" authorId="0" shapeId="0" xr:uid="{00000000-0006-0000-0500-000005000000}">
      <text>
        <r>
          <rPr>
            <sz val="11"/>
            <color theme="1"/>
            <rFont val="Calibri"/>
            <family val="2"/>
          </rPr>
          <t>Synthetic interview-training assumptions; not employer actual data.</t>
        </r>
      </text>
    </comment>
    <comment ref="D7" authorId="0" shapeId="0" xr:uid="{00000000-0006-0000-0500-000006000000}">
      <text>
        <r>
          <rPr>
            <sz val="11"/>
            <color theme="1"/>
            <rFont val="Calibri"/>
            <family val="2"/>
          </rPr>
          <t>Synthetic interview-training assumptions; not employer actual data.</t>
        </r>
      </text>
    </comment>
    <comment ref="E7" authorId="0" shapeId="0" xr:uid="{00000000-0006-0000-0500-000007000000}">
      <text>
        <r>
          <rPr>
            <sz val="11"/>
            <color theme="1"/>
            <rFont val="Calibri"/>
            <family val="2"/>
          </rPr>
          <t>Synthetic interview-training assumptions; not employer actual data.</t>
        </r>
      </text>
    </comment>
    <comment ref="F7" authorId="0" shapeId="0" xr:uid="{00000000-0006-0000-0500-000008000000}">
      <text>
        <r>
          <rPr>
            <sz val="11"/>
            <color theme="1"/>
            <rFont val="Calibri"/>
            <family val="2"/>
          </rPr>
          <t>Synthetic interview-training assumptions; not employer actual data.</t>
        </r>
      </text>
    </comment>
    <comment ref="C8" authorId="0" shapeId="0" xr:uid="{00000000-0006-0000-0500-000009000000}">
      <text>
        <r>
          <rPr>
            <sz val="11"/>
            <color theme="1"/>
            <rFont val="Calibri"/>
            <family val="2"/>
          </rPr>
          <t>Synthetic interview-training assumptions; not employer actual data.</t>
        </r>
      </text>
    </comment>
    <comment ref="D8" authorId="0" shapeId="0" xr:uid="{00000000-0006-0000-0500-00000A000000}">
      <text>
        <r>
          <rPr>
            <sz val="11"/>
            <color theme="1"/>
            <rFont val="Calibri"/>
            <family val="2"/>
          </rPr>
          <t>Synthetic interview-training assumptions; not employer actual data.</t>
        </r>
      </text>
    </comment>
    <comment ref="E8" authorId="0" shapeId="0" xr:uid="{00000000-0006-0000-0500-00000B000000}">
      <text>
        <r>
          <rPr>
            <sz val="11"/>
            <color theme="1"/>
            <rFont val="Calibri"/>
            <family val="2"/>
          </rPr>
          <t>Synthetic interview-training assumptions; not employer actual data.</t>
        </r>
      </text>
    </comment>
    <comment ref="F8" authorId="0" shapeId="0" xr:uid="{00000000-0006-0000-0500-00000C000000}">
      <text>
        <r>
          <rPr>
            <sz val="11"/>
            <color theme="1"/>
            <rFont val="Calibri"/>
            <family val="2"/>
          </rPr>
          <t>Synthetic interview-training assumptions; not employer actual data.</t>
        </r>
      </text>
    </comment>
    <comment ref="C9" authorId="0" shapeId="0" xr:uid="{00000000-0006-0000-0500-00000D000000}">
      <text>
        <r>
          <rPr>
            <sz val="11"/>
            <color theme="1"/>
            <rFont val="Calibri"/>
            <family val="2"/>
          </rPr>
          <t>Synthetic interview-training assumptions; not employer actual data.</t>
        </r>
      </text>
    </comment>
    <comment ref="D9" authorId="0" shapeId="0" xr:uid="{00000000-0006-0000-0500-00000E000000}">
      <text>
        <r>
          <rPr>
            <sz val="11"/>
            <color theme="1"/>
            <rFont val="Calibri"/>
            <family val="2"/>
          </rPr>
          <t>Synthetic interview-training assumptions; not employer actual data.</t>
        </r>
      </text>
    </comment>
    <comment ref="E9" authorId="0" shapeId="0" xr:uid="{00000000-0006-0000-0500-00000F000000}">
      <text>
        <r>
          <rPr>
            <sz val="11"/>
            <color theme="1"/>
            <rFont val="Calibri"/>
            <family val="2"/>
          </rPr>
          <t>Synthetic interview-training assumptions; not employer actual data.</t>
        </r>
      </text>
    </comment>
    <comment ref="F9" authorId="0" shapeId="0" xr:uid="{00000000-0006-0000-0500-000010000000}">
      <text>
        <r>
          <rPr>
            <sz val="11"/>
            <color theme="1"/>
            <rFont val="Calibri"/>
            <family val="2"/>
          </rPr>
          <t>Synthetic interview-training assumptions; not employer actual data.</t>
        </r>
      </text>
    </comment>
    <comment ref="C10" authorId="0" shapeId="0" xr:uid="{00000000-0006-0000-0500-000011000000}">
      <text>
        <r>
          <rPr>
            <sz val="11"/>
            <color theme="1"/>
            <rFont val="Calibri"/>
            <family val="2"/>
          </rPr>
          <t>Synthetic interview-training assumptions; not employer actual data.</t>
        </r>
      </text>
    </comment>
    <comment ref="D10" authorId="0" shapeId="0" xr:uid="{00000000-0006-0000-0500-000012000000}">
      <text>
        <r>
          <rPr>
            <sz val="11"/>
            <color theme="1"/>
            <rFont val="Calibri"/>
            <family val="2"/>
          </rPr>
          <t>Synthetic interview-training assumptions; not employer actual data.</t>
        </r>
      </text>
    </comment>
    <comment ref="E10" authorId="0" shapeId="0" xr:uid="{00000000-0006-0000-0500-000013000000}">
      <text>
        <r>
          <rPr>
            <sz val="11"/>
            <color theme="1"/>
            <rFont val="Calibri"/>
            <family val="2"/>
          </rPr>
          <t>Synthetic interview-training assumptions; not employer actual data.</t>
        </r>
      </text>
    </comment>
    <comment ref="F10" authorId="0" shapeId="0" xr:uid="{00000000-0006-0000-0500-000014000000}">
      <text>
        <r>
          <rPr>
            <sz val="11"/>
            <color theme="1"/>
            <rFont val="Calibri"/>
            <family val="2"/>
          </rPr>
          <t>Synthetic interview-training assumptions; not employer actual data.</t>
        </r>
      </text>
    </comment>
    <comment ref="C11" authorId="0" shapeId="0" xr:uid="{00000000-0006-0000-0500-000015000000}">
      <text>
        <r>
          <rPr>
            <sz val="11"/>
            <color theme="1"/>
            <rFont val="Calibri"/>
            <family val="2"/>
          </rPr>
          <t>Synthetic interview-training assumptions; not employer actual data.</t>
        </r>
      </text>
    </comment>
    <comment ref="D11" authorId="0" shapeId="0" xr:uid="{00000000-0006-0000-0500-000016000000}">
      <text>
        <r>
          <rPr>
            <sz val="11"/>
            <color theme="1"/>
            <rFont val="Calibri"/>
            <family val="2"/>
          </rPr>
          <t>Synthetic interview-training assumptions; not employer actual data.</t>
        </r>
      </text>
    </comment>
    <comment ref="E11" authorId="0" shapeId="0" xr:uid="{00000000-0006-0000-0500-000017000000}">
      <text>
        <r>
          <rPr>
            <sz val="11"/>
            <color theme="1"/>
            <rFont val="Calibri"/>
            <family val="2"/>
          </rPr>
          <t>Synthetic interview-training assumptions; not employer actual data.</t>
        </r>
      </text>
    </comment>
    <comment ref="F11" authorId="0" shapeId="0" xr:uid="{00000000-0006-0000-0500-000018000000}">
      <text>
        <r>
          <rPr>
            <sz val="11"/>
            <color theme="1"/>
            <rFont val="Calibri"/>
            <family val="2"/>
          </rPr>
          <t>Synthetic interview-training assumptions; not employer actual data.</t>
        </r>
      </text>
    </comment>
    <comment ref="C12" authorId="0" shapeId="0" xr:uid="{00000000-0006-0000-0500-000019000000}">
      <text>
        <r>
          <rPr>
            <sz val="11"/>
            <color theme="1"/>
            <rFont val="Calibri"/>
            <family val="2"/>
          </rPr>
          <t>Synthetic interview-training assumptions; not employer actual data.</t>
        </r>
      </text>
    </comment>
    <comment ref="D12" authorId="0" shapeId="0" xr:uid="{00000000-0006-0000-0500-00001A000000}">
      <text>
        <r>
          <rPr>
            <sz val="11"/>
            <color theme="1"/>
            <rFont val="Calibri"/>
            <family val="2"/>
          </rPr>
          <t>Synthetic interview-training assumptions; not employer actual data.</t>
        </r>
      </text>
    </comment>
    <comment ref="E12" authorId="0" shapeId="0" xr:uid="{00000000-0006-0000-0500-00001B000000}">
      <text>
        <r>
          <rPr>
            <sz val="11"/>
            <color theme="1"/>
            <rFont val="Calibri"/>
            <family val="2"/>
          </rPr>
          <t>Synthetic interview-training assumptions; not employer actual data.</t>
        </r>
      </text>
    </comment>
    <comment ref="F12" authorId="0" shapeId="0" xr:uid="{00000000-0006-0000-0500-00001C000000}">
      <text>
        <r>
          <rPr>
            <sz val="11"/>
            <color theme="1"/>
            <rFont val="Calibri"/>
            <family val="2"/>
          </rPr>
          <t>Synthetic interview-training assumptions; not employer actual data.</t>
        </r>
      </text>
    </comment>
    <comment ref="C13" authorId="0" shapeId="0" xr:uid="{00000000-0006-0000-0500-00001D000000}">
      <text>
        <r>
          <rPr>
            <sz val="11"/>
            <color theme="1"/>
            <rFont val="Calibri"/>
            <family val="2"/>
          </rPr>
          <t>Synthetic interview-training assumptions; not employer actual data.</t>
        </r>
      </text>
    </comment>
    <comment ref="D13" authorId="0" shapeId="0" xr:uid="{00000000-0006-0000-0500-00001E000000}">
      <text>
        <r>
          <rPr>
            <sz val="11"/>
            <color theme="1"/>
            <rFont val="Calibri"/>
            <family val="2"/>
          </rPr>
          <t>Synthetic interview-training assumptions; not employer actual data.</t>
        </r>
      </text>
    </comment>
    <comment ref="E13" authorId="0" shapeId="0" xr:uid="{00000000-0006-0000-0500-00001F000000}">
      <text>
        <r>
          <rPr>
            <sz val="11"/>
            <color theme="1"/>
            <rFont val="Calibri"/>
            <family val="2"/>
          </rPr>
          <t>Synthetic interview-training assumptions; not employer actual data.</t>
        </r>
      </text>
    </comment>
    <comment ref="F13" authorId="0" shapeId="0" xr:uid="{00000000-0006-0000-0500-000020000000}">
      <text>
        <r>
          <rPr>
            <sz val="11"/>
            <color theme="1"/>
            <rFont val="Calibri"/>
            <family val="2"/>
          </rPr>
          <t>Synthetic interview-training assumptions; not employer actual data.</t>
        </r>
      </text>
    </comment>
    <comment ref="C14" authorId="0" shapeId="0" xr:uid="{00000000-0006-0000-0500-000021000000}">
      <text>
        <r>
          <rPr>
            <sz val="11"/>
            <color theme="1"/>
            <rFont val="Calibri"/>
            <family val="2"/>
          </rPr>
          <t>Synthetic interview-training assumptions; not employer actual data.</t>
        </r>
      </text>
    </comment>
    <comment ref="D14" authorId="0" shapeId="0" xr:uid="{00000000-0006-0000-0500-000022000000}">
      <text>
        <r>
          <rPr>
            <sz val="11"/>
            <color theme="1"/>
            <rFont val="Calibri"/>
            <family val="2"/>
          </rPr>
          <t>Synthetic interview-training assumptions; not employer actual data.</t>
        </r>
      </text>
    </comment>
    <comment ref="E14" authorId="0" shapeId="0" xr:uid="{00000000-0006-0000-0500-000023000000}">
      <text>
        <r>
          <rPr>
            <sz val="11"/>
            <color theme="1"/>
            <rFont val="Calibri"/>
            <family val="2"/>
          </rPr>
          <t>Synthetic interview-training assumptions; not employer actual data.</t>
        </r>
      </text>
    </comment>
    <comment ref="F14" authorId="0" shapeId="0" xr:uid="{00000000-0006-0000-0500-000024000000}">
      <text>
        <r>
          <rPr>
            <sz val="11"/>
            <color theme="1"/>
            <rFont val="Calibri"/>
            <family val="2"/>
          </rPr>
          <t>Synthetic interview-training assumptions; not employer actual data.</t>
        </r>
      </text>
    </comment>
    <comment ref="C15" authorId="0" shapeId="0" xr:uid="{00000000-0006-0000-0500-000025000000}">
      <text>
        <r>
          <rPr>
            <sz val="11"/>
            <color theme="1"/>
            <rFont val="Calibri"/>
            <family val="2"/>
          </rPr>
          <t>Synthetic interview-training assumptions; not employer actual data.</t>
        </r>
      </text>
    </comment>
    <comment ref="D15" authorId="0" shapeId="0" xr:uid="{00000000-0006-0000-0500-000026000000}">
      <text>
        <r>
          <rPr>
            <sz val="11"/>
            <color theme="1"/>
            <rFont val="Calibri"/>
            <family val="2"/>
          </rPr>
          <t>Synthetic interview-training assumptions; not employer actual data.</t>
        </r>
      </text>
    </comment>
    <comment ref="E15" authorId="0" shapeId="0" xr:uid="{00000000-0006-0000-0500-000027000000}">
      <text>
        <r>
          <rPr>
            <sz val="11"/>
            <color theme="1"/>
            <rFont val="Calibri"/>
            <family val="2"/>
          </rPr>
          <t>Synthetic interview-training assumptions; not employer actual data.</t>
        </r>
      </text>
    </comment>
    <comment ref="F15" authorId="0" shapeId="0" xr:uid="{00000000-0006-0000-0500-000028000000}">
      <text>
        <r>
          <rPr>
            <sz val="11"/>
            <color theme="1"/>
            <rFont val="Calibri"/>
            <family val="2"/>
          </rPr>
          <t>Synthetic interview-training assumptions; not employer actual data.</t>
        </r>
      </text>
    </comment>
    <comment ref="C16" authorId="0" shapeId="0" xr:uid="{00000000-0006-0000-0500-000029000000}">
      <text>
        <r>
          <rPr>
            <sz val="11"/>
            <color theme="1"/>
            <rFont val="Calibri"/>
            <family val="2"/>
          </rPr>
          <t>Synthetic interview-training assumptions; not employer actual data.</t>
        </r>
      </text>
    </comment>
    <comment ref="D16" authorId="0" shapeId="0" xr:uid="{00000000-0006-0000-0500-00002A000000}">
      <text>
        <r>
          <rPr>
            <sz val="11"/>
            <color theme="1"/>
            <rFont val="Calibri"/>
            <family val="2"/>
          </rPr>
          <t>Synthetic interview-training assumptions; not employer actual data.</t>
        </r>
      </text>
    </comment>
    <comment ref="E16" authorId="0" shapeId="0" xr:uid="{00000000-0006-0000-0500-00002B000000}">
      <text>
        <r>
          <rPr>
            <sz val="11"/>
            <color theme="1"/>
            <rFont val="Calibri"/>
            <family val="2"/>
          </rPr>
          <t>Synthetic interview-training assumptions; not employer actual data.</t>
        </r>
      </text>
    </comment>
    <comment ref="F16" authorId="0" shapeId="0" xr:uid="{00000000-0006-0000-0500-00002C000000}">
      <text>
        <r>
          <rPr>
            <sz val="11"/>
            <color theme="1"/>
            <rFont val="Calibri"/>
            <family val="2"/>
          </rPr>
          <t>Synthetic interview-training assumptions; not employer actual data.</t>
        </r>
      </text>
    </comment>
    <comment ref="C17" authorId="0" shapeId="0" xr:uid="{00000000-0006-0000-0500-00002D000000}">
      <text>
        <r>
          <rPr>
            <sz val="11"/>
            <color theme="1"/>
            <rFont val="Calibri"/>
            <family val="2"/>
          </rPr>
          <t>Synthetic interview-training assumptions; not employer actual data.</t>
        </r>
      </text>
    </comment>
    <comment ref="D17" authorId="0" shapeId="0" xr:uid="{00000000-0006-0000-0500-00002E000000}">
      <text>
        <r>
          <rPr>
            <sz val="11"/>
            <color theme="1"/>
            <rFont val="Calibri"/>
            <family val="2"/>
          </rPr>
          <t>Synthetic interview-training assumptions; not employer actual data.</t>
        </r>
      </text>
    </comment>
    <comment ref="E17" authorId="0" shapeId="0" xr:uid="{00000000-0006-0000-0500-00002F000000}">
      <text>
        <r>
          <rPr>
            <sz val="11"/>
            <color theme="1"/>
            <rFont val="Calibri"/>
            <family val="2"/>
          </rPr>
          <t>Synthetic interview-training assumptions; not employer actual data.</t>
        </r>
      </text>
    </comment>
    <comment ref="F17" authorId="0" shapeId="0" xr:uid="{00000000-0006-0000-0500-000030000000}">
      <text>
        <r>
          <rPr>
            <sz val="11"/>
            <color theme="1"/>
            <rFont val="Calibri"/>
            <family val="2"/>
          </rPr>
          <t>Synthetic interview-training assumptions; not employer actual data.</t>
        </r>
      </text>
    </comment>
    <comment ref="C18" authorId="0" shapeId="0" xr:uid="{00000000-0006-0000-0500-000031000000}">
      <text>
        <r>
          <rPr>
            <sz val="11"/>
            <color theme="1"/>
            <rFont val="Calibri"/>
            <family val="2"/>
          </rPr>
          <t>Synthetic interview-training assumptions; not employer actual data.</t>
        </r>
      </text>
    </comment>
    <comment ref="D18" authorId="0" shapeId="0" xr:uid="{00000000-0006-0000-0500-000032000000}">
      <text>
        <r>
          <rPr>
            <sz val="11"/>
            <color theme="1"/>
            <rFont val="Calibri"/>
            <family val="2"/>
          </rPr>
          <t>Synthetic interview-training assumptions; not employer actual data.</t>
        </r>
      </text>
    </comment>
    <comment ref="E18" authorId="0" shapeId="0" xr:uid="{00000000-0006-0000-0500-000033000000}">
      <text>
        <r>
          <rPr>
            <sz val="11"/>
            <color theme="1"/>
            <rFont val="Calibri"/>
            <family val="2"/>
          </rPr>
          <t>Synthetic interview-training assumptions; not employer actual data.</t>
        </r>
      </text>
    </comment>
    <comment ref="F18" authorId="0" shapeId="0" xr:uid="{00000000-0006-0000-0500-000034000000}">
      <text>
        <r>
          <rPr>
            <sz val="11"/>
            <color theme="1"/>
            <rFont val="Calibri"/>
            <family val="2"/>
          </rPr>
          <t>Synthetic interview-training assumptions; not employer actual data.</t>
        </r>
      </text>
    </comment>
    <comment ref="C19" authorId="0" shapeId="0" xr:uid="{00000000-0006-0000-0500-000035000000}">
      <text>
        <r>
          <rPr>
            <sz val="11"/>
            <color theme="1"/>
            <rFont val="Calibri"/>
            <family val="2"/>
          </rPr>
          <t>Synthetic interview-training assumptions; not employer actual data.</t>
        </r>
      </text>
    </comment>
    <comment ref="D19" authorId="0" shapeId="0" xr:uid="{00000000-0006-0000-0500-000036000000}">
      <text>
        <r>
          <rPr>
            <sz val="11"/>
            <color theme="1"/>
            <rFont val="Calibri"/>
            <family val="2"/>
          </rPr>
          <t>Synthetic interview-training assumptions; not employer actual data.</t>
        </r>
      </text>
    </comment>
    <comment ref="E19" authorId="0" shapeId="0" xr:uid="{00000000-0006-0000-0500-000037000000}">
      <text>
        <r>
          <rPr>
            <sz val="11"/>
            <color theme="1"/>
            <rFont val="Calibri"/>
            <family val="2"/>
          </rPr>
          <t>Synthetic interview-training assumptions; not employer actual data.</t>
        </r>
      </text>
    </comment>
    <comment ref="F19" authorId="0" shapeId="0" xr:uid="{00000000-0006-0000-0500-000038000000}">
      <text>
        <r>
          <rPr>
            <sz val="11"/>
            <color theme="1"/>
            <rFont val="Calibri"/>
            <family val="2"/>
          </rPr>
          <t>Synthetic interview-training assumptions; not employer actual data.</t>
        </r>
      </text>
    </comment>
    <comment ref="C20" authorId="0" shapeId="0" xr:uid="{00000000-0006-0000-0500-000039000000}">
      <text>
        <r>
          <rPr>
            <sz val="11"/>
            <color theme="1"/>
            <rFont val="Calibri"/>
            <family val="2"/>
          </rPr>
          <t>Synthetic interview-training assumptions; not employer actual data.</t>
        </r>
      </text>
    </comment>
    <comment ref="D20" authorId="0" shapeId="0" xr:uid="{00000000-0006-0000-0500-00003A000000}">
      <text>
        <r>
          <rPr>
            <sz val="11"/>
            <color theme="1"/>
            <rFont val="Calibri"/>
            <family val="2"/>
          </rPr>
          <t>Synthetic interview-training assumptions; not employer actual data.</t>
        </r>
      </text>
    </comment>
    <comment ref="E20" authorId="0" shapeId="0" xr:uid="{00000000-0006-0000-0500-00003B000000}">
      <text>
        <r>
          <rPr>
            <sz val="11"/>
            <color theme="1"/>
            <rFont val="Calibri"/>
            <family val="2"/>
          </rPr>
          <t>Synthetic interview-training assumptions; not employer actual data.</t>
        </r>
      </text>
    </comment>
    <comment ref="F20" authorId="0" shapeId="0" xr:uid="{00000000-0006-0000-0500-00003C000000}">
      <text>
        <r>
          <rPr>
            <sz val="11"/>
            <color theme="1"/>
            <rFont val="Calibri"/>
            <family val="2"/>
          </rPr>
          <t>Synthetic interview-training assumptions; not employer actual data.</t>
        </r>
      </text>
    </comment>
    <comment ref="C21" authorId="0" shapeId="0" xr:uid="{00000000-0006-0000-0500-00003D000000}">
      <text>
        <r>
          <rPr>
            <sz val="11"/>
            <color theme="1"/>
            <rFont val="Calibri"/>
            <family val="2"/>
          </rPr>
          <t>Synthetic interview-training assumptions; not employer actual data.</t>
        </r>
      </text>
    </comment>
    <comment ref="D21" authorId="0" shapeId="0" xr:uid="{00000000-0006-0000-0500-00003E000000}">
      <text>
        <r>
          <rPr>
            <sz val="11"/>
            <color theme="1"/>
            <rFont val="Calibri"/>
            <family val="2"/>
          </rPr>
          <t>Synthetic interview-training assumptions; not employer actual data.</t>
        </r>
      </text>
    </comment>
    <comment ref="E21" authorId="0" shapeId="0" xr:uid="{00000000-0006-0000-0500-00003F000000}">
      <text>
        <r>
          <rPr>
            <sz val="11"/>
            <color theme="1"/>
            <rFont val="Calibri"/>
            <family val="2"/>
          </rPr>
          <t>Synthetic interview-training assumptions; not employer actual data.</t>
        </r>
      </text>
    </comment>
    <comment ref="F21" authorId="0" shapeId="0" xr:uid="{00000000-0006-0000-0500-000040000000}">
      <text>
        <r>
          <rPr>
            <sz val="11"/>
            <color theme="1"/>
            <rFont val="Calibri"/>
            <family val="2"/>
          </rPr>
          <t>Synthetic interview-training assumptions; not employer actual data.</t>
        </r>
      </text>
    </comment>
    <comment ref="C22" authorId="0" shapeId="0" xr:uid="{00000000-0006-0000-0500-000041000000}">
      <text>
        <r>
          <rPr>
            <sz val="11"/>
            <color theme="1"/>
            <rFont val="Calibri"/>
            <family val="2"/>
          </rPr>
          <t>Synthetic interview-training assumptions; not employer actual data.</t>
        </r>
      </text>
    </comment>
    <comment ref="D22" authorId="0" shapeId="0" xr:uid="{00000000-0006-0000-0500-000042000000}">
      <text>
        <r>
          <rPr>
            <sz val="11"/>
            <color theme="1"/>
            <rFont val="Calibri"/>
            <family val="2"/>
          </rPr>
          <t>Synthetic interview-training assumptions; not employer actual data.</t>
        </r>
      </text>
    </comment>
    <comment ref="E22" authorId="0" shapeId="0" xr:uid="{00000000-0006-0000-0500-000043000000}">
      <text>
        <r>
          <rPr>
            <sz val="11"/>
            <color theme="1"/>
            <rFont val="Calibri"/>
            <family val="2"/>
          </rPr>
          <t>Synthetic interview-training assumptions; not employer actual data.</t>
        </r>
      </text>
    </comment>
    <comment ref="F22" authorId="0" shapeId="0" xr:uid="{00000000-0006-0000-0500-000044000000}">
      <text>
        <r>
          <rPr>
            <sz val="11"/>
            <color theme="1"/>
            <rFont val="Calibri"/>
            <family val="2"/>
          </rPr>
          <t>Synthetic interview-training assumptions; not employer actual data.</t>
        </r>
      </text>
    </comment>
    <comment ref="C23" authorId="0" shapeId="0" xr:uid="{00000000-0006-0000-0500-000045000000}">
      <text>
        <r>
          <rPr>
            <sz val="11"/>
            <color theme="1"/>
            <rFont val="Calibri"/>
            <family val="2"/>
          </rPr>
          <t>Synthetic interview-training assumptions; not employer actual data.</t>
        </r>
      </text>
    </comment>
    <comment ref="D23" authorId="0" shapeId="0" xr:uid="{00000000-0006-0000-0500-000046000000}">
      <text>
        <r>
          <rPr>
            <sz val="11"/>
            <color theme="1"/>
            <rFont val="Calibri"/>
            <family val="2"/>
          </rPr>
          <t>Synthetic interview-training assumptions; not employer actual data.</t>
        </r>
      </text>
    </comment>
    <comment ref="E23" authorId="0" shapeId="0" xr:uid="{00000000-0006-0000-0500-000047000000}">
      <text>
        <r>
          <rPr>
            <sz val="11"/>
            <color theme="1"/>
            <rFont val="Calibri"/>
            <family val="2"/>
          </rPr>
          <t>Synthetic interview-training assumptions; not employer actual data.</t>
        </r>
      </text>
    </comment>
    <comment ref="F23" authorId="0" shapeId="0" xr:uid="{00000000-0006-0000-0500-000048000000}">
      <text>
        <r>
          <rPr>
            <sz val="11"/>
            <color theme="1"/>
            <rFont val="Calibri"/>
            <family val="2"/>
          </rPr>
          <t>Synthetic interview-training assumptions; not employer actual data.</t>
        </r>
      </text>
    </comment>
    <comment ref="C24" authorId="0" shapeId="0" xr:uid="{00000000-0006-0000-0500-000049000000}">
      <text>
        <r>
          <rPr>
            <sz val="11"/>
            <color theme="1"/>
            <rFont val="Calibri"/>
            <family val="2"/>
          </rPr>
          <t>Synthetic interview-training assumptions; not employer actual data.</t>
        </r>
      </text>
    </comment>
    <comment ref="D24" authorId="0" shapeId="0" xr:uid="{00000000-0006-0000-0500-00004A000000}">
      <text>
        <r>
          <rPr>
            <sz val="11"/>
            <color theme="1"/>
            <rFont val="Calibri"/>
            <family val="2"/>
          </rPr>
          <t>Synthetic interview-training assumptions; not employer actual data.</t>
        </r>
      </text>
    </comment>
    <comment ref="E24" authorId="0" shapeId="0" xr:uid="{00000000-0006-0000-0500-00004B000000}">
      <text>
        <r>
          <rPr>
            <sz val="11"/>
            <color theme="1"/>
            <rFont val="Calibri"/>
            <family val="2"/>
          </rPr>
          <t>Synthetic interview-training assumptions; not employer actual data.</t>
        </r>
      </text>
    </comment>
    <comment ref="F24" authorId="0" shapeId="0" xr:uid="{00000000-0006-0000-0500-00004C000000}">
      <text>
        <r>
          <rPr>
            <sz val="11"/>
            <color theme="1"/>
            <rFont val="Calibri"/>
            <family val="2"/>
          </rPr>
          <t>Synthetic interview-training assumptions; not employer actual data.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Copilot</author>
  </authors>
  <commentList>
    <comment ref="B12" authorId="0" shapeId="0" xr:uid="{00000000-0006-0000-0600-000001000000}">
      <text>
        <r>
          <rPr>
            <sz val="11"/>
            <color theme="1"/>
            <rFont val="Calibri"/>
            <family val="2"/>
          </rPr>
          <t>Synthetic interview-training assumptions; not employer actual data.</t>
        </r>
      </text>
    </comment>
    <comment ref="C12" authorId="0" shapeId="0" xr:uid="{00000000-0006-0000-0600-000002000000}">
      <text>
        <r>
          <rPr>
            <sz val="11"/>
            <color theme="1"/>
            <rFont val="Calibri"/>
            <family val="2"/>
          </rPr>
          <t>Synthetic interview-training assumptions; not employer actual data.</t>
        </r>
      </text>
    </comment>
    <comment ref="D12" authorId="0" shapeId="0" xr:uid="{00000000-0006-0000-0600-000003000000}">
      <text>
        <r>
          <rPr>
            <sz val="11"/>
            <color theme="1"/>
            <rFont val="Calibri"/>
            <family val="2"/>
          </rPr>
          <t>Synthetic interview-training assumptions; not employer actual data.</t>
        </r>
      </text>
    </comment>
    <comment ref="B13" authorId="0" shapeId="0" xr:uid="{00000000-0006-0000-0600-000004000000}">
      <text>
        <r>
          <rPr>
            <sz val="11"/>
            <color theme="1"/>
            <rFont val="Calibri"/>
            <family val="2"/>
          </rPr>
          <t>Synthetic interview-training assumptions; not employer actual data.</t>
        </r>
      </text>
    </comment>
    <comment ref="C13" authorId="0" shapeId="0" xr:uid="{00000000-0006-0000-0600-000005000000}">
      <text>
        <r>
          <rPr>
            <sz val="11"/>
            <color theme="1"/>
            <rFont val="Calibri"/>
            <family val="2"/>
          </rPr>
          <t>Synthetic interview-training assumptions; not employer actual data.</t>
        </r>
      </text>
    </comment>
    <comment ref="D13" authorId="0" shapeId="0" xr:uid="{00000000-0006-0000-0600-000006000000}">
      <text>
        <r>
          <rPr>
            <sz val="11"/>
            <color theme="1"/>
            <rFont val="Calibri"/>
            <family val="2"/>
          </rPr>
          <t>Synthetic interview-training assumptions; not employer actual data.</t>
        </r>
      </text>
    </comment>
    <comment ref="B14" authorId="0" shapeId="0" xr:uid="{00000000-0006-0000-0600-000007000000}">
      <text>
        <r>
          <rPr>
            <sz val="11"/>
            <color theme="1"/>
            <rFont val="Calibri"/>
            <family val="2"/>
          </rPr>
          <t>Synthetic interview-training assumptions; not employer actual data.</t>
        </r>
      </text>
    </comment>
    <comment ref="C14" authorId="0" shapeId="0" xr:uid="{00000000-0006-0000-0600-000008000000}">
      <text>
        <r>
          <rPr>
            <sz val="11"/>
            <color theme="1"/>
            <rFont val="Calibri"/>
            <family val="2"/>
          </rPr>
          <t>Synthetic interview-training assumptions; not employer actual data.</t>
        </r>
      </text>
    </comment>
    <comment ref="D14" authorId="0" shapeId="0" xr:uid="{00000000-0006-0000-0600-000009000000}">
      <text>
        <r>
          <rPr>
            <sz val="11"/>
            <color theme="1"/>
            <rFont val="Calibri"/>
            <family val="2"/>
          </rPr>
          <t>Synthetic interview-training assumptions; not employer actual data.</t>
        </r>
      </text>
    </comment>
    <comment ref="B15" authorId="0" shapeId="0" xr:uid="{00000000-0006-0000-0600-00000A000000}">
      <text>
        <r>
          <rPr>
            <sz val="11"/>
            <color theme="1"/>
            <rFont val="Calibri"/>
            <family val="2"/>
          </rPr>
          <t>Synthetic interview-training assumptions; not employer actual data.</t>
        </r>
      </text>
    </comment>
    <comment ref="C15" authorId="0" shapeId="0" xr:uid="{00000000-0006-0000-0600-00000B000000}">
      <text>
        <r>
          <rPr>
            <sz val="11"/>
            <color theme="1"/>
            <rFont val="Calibri"/>
            <family val="2"/>
          </rPr>
          <t>Synthetic interview-training assumptions; not employer actual data.</t>
        </r>
      </text>
    </comment>
    <comment ref="D15" authorId="0" shapeId="0" xr:uid="{00000000-0006-0000-0600-00000C000000}">
      <text>
        <r>
          <rPr>
            <sz val="11"/>
            <color theme="1"/>
            <rFont val="Calibri"/>
            <family val="2"/>
          </rPr>
          <t>Synthetic interview-training assumptions; not employer actual data.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Copilot</author>
  </authors>
  <commentList>
    <comment ref="J6" authorId="0" shapeId="0" xr:uid="{00000000-0006-0000-0700-000001000000}">
      <text>
        <r>
          <rPr>
            <sz val="11"/>
            <color theme="1"/>
            <rFont val="Calibri"/>
            <family val="2"/>
          </rPr>
          <t>Synthetic interview-training assumptions; not employer actual data.</t>
        </r>
      </text>
    </comment>
    <comment ref="K6" authorId="0" shapeId="0" xr:uid="{00000000-0006-0000-0700-000002000000}">
      <text>
        <r>
          <rPr>
            <sz val="11"/>
            <color theme="1"/>
            <rFont val="Calibri"/>
            <family val="2"/>
          </rPr>
          <t>Synthetic interview-training assumptions; not employer actual data.</t>
        </r>
      </text>
    </comment>
    <comment ref="L6" authorId="0" shapeId="0" xr:uid="{00000000-0006-0000-0700-000003000000}">
      <text>
        <r>
          <rPr>
            <sz val="11"/>
            <color theme="1"/>
            <rFont val="Calibri"/>
            <family val="2"/>
          </rPr>
          <t>Synthetic interview-training assumptions; not employer actual data.</t>
        </r>
      </text>
    </comment>
    <comment ref="N6" authorId="0" shapeId="0" xr:uid="{00000000-0006-0000-0700-000004000000}">
      <text>
        <r>
          <rPr>
            <sz val="11"/>
            <color theme="1"/>
            <rFont val="Calibri"/>
            <family val="2"/>
          </rPr>
          <t>Synthetic interview-training assumptions; not employer actual data.</t>
        </r>
      </text>
    </comment>
  </commentList>
</comments>
</file>

<file path=xl/sharedStrings.xml><?xml version="1.0" encoding="utf-8"?>
<sst xmlns="http://schemas.openxmlformats.org/spreadsheetml/2006/main" count="497" uniqueCount="332">
  <si>
    <t>Purpose</t>
  </si>
  <si>
    <t>Inputs</t>
  </si>
  <si>
    <t>Blue font and yellow fill.</t>
  </si>
  <si>
    <t>Formula cells</t>
  </si>
  <si>
    <t>Black font.</t>
  </si>
  <si>
    <t>Cross-sheet links</t>
  </si>
  <si>
    <t>Green font.</t>
  </si>
  <si>
    <t>Variance convention</t>
  </si>
  <si>
    <t>Positive denotes favourable to GOP; negative denotes unfavourable.</t>
  </si>
  <si>
    <t>Case status</t>
  </si>
  <si>
    <t>Open in Excel</t>
  </si>
  <si>
    <t>Workbook is configured for automatic full recalculation.</t>
  </si>
  <si>
    <t>Verification Summary</t>
  </si>
  <si>
    <t>Check</t>
  </si>
  <si>
    <t>Expected</t>
  </si>
  <si>
    <t>Workbook Formula</t>
  </si>
  <si>
    <t>Status</t>
  </si>
  <si>
    <t>Explanation</t>
  </si>
  <si>
    <t>PVM reconciliation</t>
  </si>
  <si>
    <t>Bridge effects reconcile budget to actual rooms revenue.</t>
  </si>
  <si>
    <t>Labour reconciliation</t>
  </si>
  <si>
    <t>Component effects reconcile to total P&amp;L labour variance.</t>
  </si>
  <si>
    <t>01. Single-Source Inputs and KPIs</t>
  </si>
  <si>
    <t>Metric</t>
  </si>
  <si>
    <t>Units</t>
  </si>
  <si>
    <t>Budget</t>
  </si>
  <si>
    <t>Actual</t>
  </si>
  <si>
    <t>Latest Forecast</t>
  </si>
  <si>
    <t>Actual vs Budget</t>
  </si>
  <si>
    <t>Forecast vs Budget</t>
  </si>
  <si>
    <t>Definition</t>
  </si>
  <si>
    <t>Physical rooms</t>
  </si>
  <si>
    <t>rooms</t>
  </si>
  <si>
    <t>Building inventory</t>
  </si>
  <si>
    <t>Out-of-order rooms</t>
  </si>
  <si>
    <t>Unavailable rooms</t>
  </si>
  <si>
    <t>Days</t>
  </si>
  <si>
    <t>days</t>
  </si>
  <si>
    <t>Days in period</t>
  </si>
  <si>
    <t>Available room nights</t>
  </si>
  <si>
    <t>room nights</t>
  </si>
  <si>
    <t>Net available rooms × days</t>
  </si>
  <si>
    <t>Rooms sold</t>
  </si>
  <si>
    <t>Paid room nights</t>
  </si>
  <si>
    <t>Rooms revenue</t>
  </si>
  <si>
    <t>HK$</t>
  </si>
  <si>
    <t>F&amp;B revenue</t>
  </si>
  <si>
    <t>Food and beverage revenue</t>
  </si>
  <si>
    <t>Other revenue</t>
  </si>
  <si>
    <t>Other operated departments</t>
  </si>
  <si>
    <t>Core hours</t>
  </si>
  <si>
    <t>hours</t>
  </si>
  <si>
    <t>Core labour hours</t>
  </si>
  <si>
    <t>Base rate</t>
  </si>
  <si>
    <t>HK$/hour</t>
  </si>
  <si>
    <t>Average base hourly rate</t>
  </si>
  <si>
    <t>OT hours</t>
  </si>
  <si>
    <t>Overtime hours</t>
  </si>
  <si>
    <t>OT premium</t>
  </si>
  <si>
    <t>Incremental premium rate</t>
  </si>
  <si>
    <t>Agency hours</t>
  </si>
  <si>
    <t>Agency rate</t>
  </si>
  <si>
    <t>Loaded agency rate</t>
  </si>
  <si>
    <t>Other labour</t>
  </si>
  <si>
    <t>Other payroll and benefits</t>
  </si>
  <si>
    <t>F&amp;B cost</t>
  </si>
  <si>
    <t>Direct F&amp;B cost</t>
  </si>
  <si>
    <t>Utilities</t>
  </si>
  <si>
    <t>Other opex</t>
  </si>
  <si>
    <t>Other operating expenses</t>
  </si>
  <si>
    <t>Guest satisfaction</t>
  </si>
  <si>
    <t>score</t>
  </si>
  <si>
    <t>Service guardrail</t>
  </si>
  <si>
    <t>Calculated KPIs</t>
  </si>
  <si>
    <t>KPI</t>
  </si>
  <si>
    <t>Interpretation</t>
  </si>
  <si>
    <t>Occupancy</t>
  </si>
  <si>
    <t>%</t>
  </si>
  <si>
    <t>Rooms sold / available room nights</t>
  </si>
  <si>
    <t>ADR</t>
  </si>
  <si>
    <t>Rooms revenue / rooms sold</t>
  </si>
  <si>
    <t>RevPAR</t>
  </si>
  <si>
    <t>Rooms revenue / available room nights</t>
  </si>
  <si>
    <t>F&amp;B cost %</t>
  </si>
  <si>
    <t>F&amp;B cost / F&amp;B revenue</t>
  </si>
  <si>
    <t>Labour cost</t>
  </si>
  <si>
    <t>Core + OT premium + agency + other labour</t>
  </si>
  <si>
    <t>Total revenue</t>
  </si>
  <si>
    <t>Revenue total</t>
  </si>
  <si>
    <t>Total operating cost</t>
  </si>
  <si>
    <t>Labour + other costs</t>
  </si>
  <si>
    <t>GOP</t>
  </si>
  <si>
    <t>Revenue - operating costs</t>
  </si>
  <si>
    <t>GOP margin</t>
  </si>
  <si>
    <t>GOP / revenue</t>
  </si>
  <si>
    <t>GOPPAR</t>
  </si>
  <si>
    <t>GOP / available room nights</t>
  </si>
  <si>
    <t>02. Integrated P&amp;L and Variance</t>
  </si>
  <si>
    <t>P&amp;L Line</t>
  </si>
  <si>
    <t>Category</t>
  </si>
  <si>
    <t>Forecast</t>
  </si>
  <si>
    <t>Actual Var F/(U)</t>
  </si>
  <si>
    <t>Var %</t>
  </si>
  <si>
    <t>Forecast Var F/(U)</t>
  </si>
  <si>
    <t>Driver</t>
  </si>
  <si>
    <t>Commentary</t>
  </si>
  <si>
    <t>Revenue</t>
  </si>
  <si>
    <t>Volume, mix, rate</t>
  </si>
  <si>
    <t>Use PVM bridge.</t>
  </si>
  <si>
    <t>RevenueTotal</t>
  </si>
  <si>
    <t>Core labour</t>
  </si>
  <si>
    <t>CostFormula</t>
  </si>
  <si>
    <t>Agency labour</t>
  </si>
  <si>
    <t>Cost</t>
  </si>
  <si>
    <t>Total labour</t>
  </si>
  <si>
    <t>CostTotal</t>
  </si>
  <si>
    <t>Hours and rates</t>
  </si>
  <si>
    <t>Use labour bridge.</t>
  </si>
  <si>
    <t>Price, mix, waste</t>
  </si>
  <si>
    <t>Review F&amp;B cost percentage.</t>
  </si>
  <si>
    <t>Profit</t>
  </si>
  <si>
    <t>Margin</t>
  </si>
  <si>
    <t>03. Segment Price-Volume-Mix Bridge</t>
  </si>
  <si>
    <t>Volume uses budget weighted ADR; mix uses budget segment ADR; rate uses actual segment volume.</t>
  </si>
  <si>
    <t>Segment</t>
  </si>
  <si>
    <t>Budget Rooms</t>
  </si>
  <si>
    <t>Budget ADR</t>
  </si>
  <si>
    <t>Budget Revenue</t>
  </si>
  <si>
    <t>Budget Mix</t>
  </si>
  <si>
    <t>Actual Rooms</t>
  </si>
  <si>
    <t>Actual ADR</t>
  </si>
  <si>
    <t>Actual Revenue</t>
  </si>
  <si>
    <t>Actual Mix</t>
  </si>
  <si>
    <t>Volume Effect</t>
  </si>
  <si>
    <t>Mix Effect</t>
  </si>
  <si>
    <t>Rate Effect</t>
  </si>
  <si>
    <t>Corporate</t>
  </si>
  <si>
    <t>Leisure</t>
  </si>
  <si>
    <t>Group</t>
  </si>
  <si>
    <t>Total / weighted</t>
  </si>
  <si>
    <t>Reconciliation</t>
  </si>
  <si>
    <t>Budget revenue</t>
  </si>
  <si>
    <t>Volume effect</t>
  </si>
  <si>
    <t>Mix effect</t>
  </si>
  <si>
    <t>Rate effect</t>
  </si>
  <si>
    <t>Explained actual revenue</t>
  </si>
  <si>
    <t>Reported actual revenue</t>
  </si>
  <si>
    <t>Reconciliation Check</t>
  </si>
  <si>
    <t>P&amp;L rooms revenue check</t>
  </si>
  <si>
    <t>04. Labour Quantity and Rate Bridge</t>
  </si>
  <si>
    <t>Positive = favourable to GOP; negative = adverse.</t>
  </si>
  <si>
    <t>Component</t>
  </si>
  <si>
    <t>Budget Qty</t>
  </si>
  <si>
    <t>Budget Rate</t>
  </si>
  <si>
    <t>Budget Cost</t>
  </si>
  <si>
    <t>Actual Qty</t>
  </si>
  <si>
    <t>Actual Rate</t>
  </si>
  <si>
    <t>Actual Cost</t>
  </si>
  <si>
    <t>Quantity Effect</t>
  </si>
  <si>
    <t>Total Effect</t>
  </si>
  <si>
    <t>P&amp;L labour F/(U)</t>
  </si>
  <si>
    <t>Bridge total F/(U)</t>
  </si>
  <si>
    <t>05. Driver-Based Scenarios</t>
  </si>
  <si>
    <t>Driver / Output</t>
  </si>
  <si>
    <t>Current Actual</t>
  </si>
  <si>
    <t>Base</t>
  </si>
  <si>
    <t>Moderate</t>
  </si>
  <si>
    <t>Stretch</t>
  </si>
  <si>
    <t>Rationale</t>
  </si>
  <si>
    <t>Decision Note</t>
  </si>
  <si>
    <t>Editable scenario driver</t>
  </si>
  <si>
    <t>Implementation cost</t>
  </si>
  <si>
    <t>Confidence</t>
  </si>
  <si>
    <t>Guardrail threshold</t>
  </si>
  <si>
    <t>Calculated Outputs</t>
  </si>
  <si>
    <t>Monthly GOP uplift vs Base</t>
  </si>
  <si>
    <t>Annual gross benefit vs Base</t>
  </si>
  <si>
    <t>Annual net benefit</t>
  </si>
  <si>
    <t>Risk-adjusted net benefit</t>
  </si>
  <si>
    <t>Guardrail status</t>
  </si>
  <si>
    <t>06. Returns and Sensitivity Analysis</t>
  </si>
  <si>
    <t>Formula / Logic</t>
  </si>
  <si>
    <t>Decision Use</t>
  </si>
  <si>
    <t>Validation</t>
  </si>
  <si>
    <t>Owner</t>
  </si>
  <si>
    <t>Low Case</t>
  </si>
  <si>
    <t>High Case</t>
  </si>
  <si>
    <t>Annual gross benefit</t>
  </si>
  <si>
    <t>Monthly GOP uplift × 12</t>
  </si>
  <si>
    <t>One-off investment</t>
  </si>
  <si>
    <t>Gross benefit - implementation cost</t>
  </si>
  <si>
    <t>ROI</t>
  </si>
  <si>
    <t>Net benefit / investment</t>
  </si>
  <si>
    <t>Monthly net benefit</t>
  </si>
  <si>
    <t>Annual net / 12</t>
  </si>
  <si>
    <t>Payback</t>
  </si>
  <si>
    <t>Investment / monthly net</t>
  </si>
  <si>
    <t>Discount rate</t>
  </si>
  <si>
    <t>Editable discount rate</t>
  </si>
  <si>
    <t>Year 1 factor</t>
  </si>
  <si>
    <t>Ramp-up</t>
  </si>
  <si>
    <t>Year 2 factor</t>
  </si>
  <si>
    <t>Steady state</t>
  </si>
  <si>
    <t>Year 3 factor</t>
  </si>
  <si>
    <t>Sustainability/leakage</t>
  </si>
  <si>
    <t>Year 1 cash flow</t>
  </si>
  <si>
    <t>Annual net × Y1 factor</t>
  </si>
  <si>
    <t>Year 2 cash flow</t>
  </si>
  <si>
    <t>Annual net × Y2 factor</t>
  </si>
  <si>
    <t>Year 3 cash flow</t>
  </si>
  <si>
    <t>Annual net × Y3 factor</t>
  </si>
  <si>
    <t>NPV</t>
  </si>
  <si>
    <t>PV cash flows - investment</t>
  </si>
  <si>
    <t>Risk-adjusted annual net benefit</t>
  </si>
  <si>
    <t>Annual net × confidence</t>
  </si>
  <si>
    <t>Moderate Scenario: Confidence Sensitivity</t>
  </si>
  <si>
    <t>Moderate Scenario: Implementation Cost Sensitivity</t>
  </si>
  <si>
    <t>Moderate Scenario: Two-Way Risk-Adjusted Net Benefit</t>
  </si>
  <si>
    <t>Benefit achievement → / Cost overrun ↓</t>
  </si>
  <si>
    <t>Use one-way tables to isolate confidence and implementation-cost effects. Use the two-way table to test simultaneous benefit under-delivery and cost overrun. Reject scenarios that fail service guardrails even if financial returns remain positive.</t>
  </si>
  <si>
    <t>07. Benefits Validation Tracker</t>
  </si>
  <si>
    <t>ID</t>
  </si>
  <si>
    <t>Opportunity</t>
  </si>
  <si>
    <t>Type</t>
  </si>
  <si>
    <t>Baseline Method</t>
  </si>
  <si>
    <t>Business Owner</t>
  </si>
  <si>
    <t>Finance Validator</t>
  </si>
  <si>
    <t>Forecast Gross</t>
  </si>
  <si>
    <t>Implementation Cost</t>
  </si>
  <si>
    <t>Forecast Net</t>
  </si>
  <si>
    <t>Realised</t>
  </si>
  <si>
    <t>Volume/Seasonality Adj.</t>
  </si>
  <si>
    <t>Attribution %</t>
  </si>
  <si>
    <t>Adjusted Benefit</t>
  </si>
  <si>
    <t>Validated Benefit</t>
  </si>
  <si>
    <t>Guardrail</t>
  </si>
  <si>
    <t>Sustainability</t>
  </si>
  <si>
    <t>Evidence</t>
  </si>
  <si>
    <t>B-001</t>
  </si>
  <si>
    <t>Moderate hotel profitability pilot</t>
  </si>
  <si>
    <t>Recurring cost reduction / revenue uplift</t>
  </si>
  <si>
    <t>Base counterfactual plus agreed normalisation</t>
  </si>
  <si>
    <t>Hotel Operations Lead</t>
  </si>
  <si>
    <t>Property Finance Lead</t>
  </si>
  <si>
    <t>Guest satisfaction &gt;= 88</t>
  </si>
  <si>
    <t>Month 3 and 6</t>
  </si>
  <si>
    <t>Actual realised and validated values remain zero until evidence and Finance sign-off.</t>
  </si>
  <si>
    <t>08. Executive Summary and Decision Request</t>
  </si>
  <si>
    <t>Headline</t>
  </si>
  <si>
    <t>Near-budget revenue is not converting to planned GOP. Labour and F&amp;B costs require a controlled Moderate pilot with Finance validation and service guardrails.</t>
  </si>
  <si>
    <t>What happened?</t>
  </si>
  <si>
    <t>Revenue Actual</t>
  </si>
  <si>
    <t>F/(U)</t>
  </si>
  <si>
    <t>GOP Actual</t>
  </si>
  <si>
    <t>Why does it matter?</t>
  </si>
  <si>
    <t>What is causing it?</t>
  </si>
  <si>
    <t>1. PVM bridge identifies volume, mix and rate drivers.</t>
  </si>
  <si>
    <t>2. Labour bridge isolates hours and rate effects across core, OT and agency.</t>
  </si>
  <si>
    <t>3. F&amp;B cost percentage is above budget.</t>
  </si>
  <si>
    <t>What should we do?</t>
  </si>
  <si>
    <t>1. Validate source data and baselines.</t>
  </si>
  <si>
    <t>2. Pilot Moderate scenario in two departments.</t>
  </si>
  <si>
    <t>3. Monitor guest and operating guardrails.</t>
  </si>
  <si>
    <t>Financial impact</t>
  </si>
  <si>
    <t>Moderate annual net</t>
  </si>
  <si>
    <t>Risk-adjusted</t>
  </si>
  <si>
    <t>Decision required</t>
  </si>
  <si>
    <t>Approve the Moderate pilot; confirm Business and Finance owners; endorse baseline, attribution and double-count controls; and stop or redesign the pilot if service guardrails are breached.</t>
  </si>
  <si>
    <t>09. Formula and Link Guide</t>
  </si>
  <si>
    <t>Area</t>
  </si>
  <si>
    <t>Formula</t>
  </si>
  <si>
    <t>Meaning</t>
  </si>
  <si>
    <t>Cross-Sheet Source</t>
  </si>
  <si>
    <t>Interview Language</t>
  </si>
  <si>
    <t>Capacity utilisation</t>
  </si>
  <si>
    <t>01 Inputs</t>
  </si>
  <si>
    <t>Confirm unavailable rooms</t>
  </si>
  <si>
    <t>Occupancy improved, but I assess it with ADR and profit.</t>
  </si>
  <si>
    <t>PVM volume</t>
  </si>
  <si>
    <t>(Actual total rooms - Budget total rooms) × Budget weighted ADR</t>
  </si>
  <si>
    <t>Demand effect</t>
  </si>
  <si>
    <t>03 PVM</t>
  </si>
  <si>
    <t>Bridge to actual revenue</t>
  </si>
  <si>
    <t>Volume was favourable.</t>
  </si>
  <si>
    <t>PVM mix</t>
  </si>
  <si>
    <t>Σ[(Actual mix-Budget mix)×Actual total rooms×Budget segment ADR]</t>
  </si>
  <si>
    <t>Segment mix effect</t>
  </si>
  <si>
    <t>Stable segment definitions</t>
  </si>
  <si>
    <t>Mix changed revenue independent of total demand.</t>
  </si>
  <si>
    <t>PVM rate</t>
  </si>
  <si>
    <t>Σ[Actual rooms×(Actual ADR-Budget ADR)]</t>
  </si>
  <si>
    <t>Achieved-rate effect</t>
  </si>
  <si>
    <t>Contract/channel review</t>
  </si>
  <si>
    <t>Rate pressure outweighed volume.</t>
  </si>
  <si>
    <t>Labour quantity</t>
  </si>
  <si>
    <t>-(Actual qty-Budget qty)×Budget rate</t>
  </si>
  <si>
    <t>Hours effect</t>
  </si>
  <si>
    <t>04 Labour</t>
  </si>
  <si>
    <t>Normalise for actual demand</t>
  </si>
  <si>
    <t>I test labour hours against demand and service standards.</t>
  </si>
  <si>
    <t>Labour rate</t>
  </si>
  <si>
    <t>-(Actual rate-Budget rate)×Actual qty</t>
  </si>
  <si>
    <t>Payroll/invoice reconciliation</t>
  </si>
  <si>
    <t>I isolate contractual and agency-rate effects.</t>
  </si>
  <si>
    <t>Annual net</t>
  </si>
  <si>
    <t>Monthly GOP uplift×12 - implementation cost</t>
  </si>
  <si>
    <t>Value after investment</t>
  </si>
  <si>
    <t>05 Scenarios</t>
  </si>
  <si>
    <t>Same period and ramp-up</t>
  </si>
  <si>
    <t>I compare net, not gross, value.</t>
  </si>
  <si>
    <t>Annual net / implementation cost</t>
  </si>
  <si>
    <t>Return multiple</t>
  </si>
  <si>
    <t>06 Returns</t>
  </si>
  <si>
    <t>Period consistency</t>
  </si>
  <si>
    <t>The option returns X per dollar invested.</t>
  </si>
  <si>
    <t>Implementation cost / monthly net benefit</t>
  </si>
  <si>
    <t>Recovery period</t>
  </si>
  <si>
    <t>Ramp-up timing</t>
  </si>
  <si>
    <t>The investment recovers in X months.</t>
  </si>
  <si>
    <t>PV of forecast cash flows - initial investment</t>
  </si>
  <si>
    <t>Time-adjusted value</t>
  </si>
  <si>
    <t>Discount rate and timing</t>
  </si>
  <si>
    <t>NPV tests whether future benefits justify the investment.</t>
  </si>
  <si>
    <t>Validated benefit</t>
  </si>
  <si>
    <t>(Realised-adjustments)×attribution, Finance approved</t>
  </si>
  <si>
    <t>Credible benefit</t>
  </si>
  <si>
    <t>07 Tracker</t>
  </si>
  <si>
    <t>Baseline, seasonality, double counting</t>
  </si>
  <si>
    <t>I distinguish forecast, realised, validated and sustained benefits.</t>
  </si>
  <si>
    <t>Hotel Operational Excellence &amp; Profitability Case Study</t>
  </si>
  <si>
    <t>Formula-driven portfolio case study covering P&amp;L, PVM, labour variance, scenarios, returns, sensitivity, benefits tracking and executive communication.</t>
  </si>
  <si>
    <t>Independent synthetic case study for professional development; no employer or Mandarin Oriental data.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</si>
</sst>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HK$&quot;#,##0;[Red]&quot;(HK$&quot;#,##0\);\-"/>
    <numFmt numFmtId="165" formatCode="#,##0;[Red]\(#,##0\);\-"/>
    <numFmt numFmtId="166" formatCode="0.0%;[Red]\(0.0%\);\-"/>
    <numFmt numFmtId="167" formatCode="0.0\x"/>
    <numFmt numFmtId="168" formatCode="0.0&quot; months&quot;"/>
  </numFmts>
  <fonts count="11" x14ac:knownFonts="1">
    <font>
      <sz val="11"/>
      <color theme="1"/>
      <name val="Calibri"/>
    </font>
    <font>
      <b/>
      <sz val="16"/>
      <color rgb="FFFFFFFF"/>
      <name val="Cambria"/>
      <family val="1"/>
    </font>
    <font>
      <b/>
      <sz val="11"/>
      <color rgb="FF17365D"/>
      <name val="Cambria"/>
      <family val="1"/>
    </font>
    <font>
      <b/>
      <sz val="11"/>
      <color rgb="FFFFFFFF"/>
      <name val="Cambria"/>
      <family val="1"/>
    </font>
    <font>
      <sz val="11"/>
      <color rgb="FF0000FF"/>
      <name val="Cambria"/>
      <family val="1"/>
    </font>
    <font>
      <sz val="11"/>
      <color rgb="FF008000"/>
      <name val="Cambria"/>
      <family val="1"/>
    </font>
    <font>
      <b/>
      <sz val="11"/>
      <color theme="1"/>
      <name val="Cambria"/>
      <family val="1"/>
    </font>
    <font>
      <b/>
      <sz val="11"/>
      <color rgb="FF000000"/>
      <name val="Cambria"/>
      <family val="1"/>
    </font>
    <font>
      <b/>
      <sz val="11"/>
      <name val="Cambria"/>
      <family val="1"/>
    </font>
    <font>
      <b/>
      <sz val="12"/>
      <color rgb="FF17365D"/>
      <name val="Cambria"/>
      <family val="1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4472C4"/>
      </patternFill>
    </fill>
    <fill>
      <patternFill patternType="solid">
        <fgColor rgb="FFFFF2CC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17365D"/>
      </bottom>
      <diagonal/>
    </border>
    <border>
      <left/>
      <right/>
      <top style="medium">
        <color rgb="FF17365D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164" fontId="0" fillId="0" borderId="0" xfId="0" applyNumberFormat="1" applyAlignment="1">
      <alignment vertical="top" wrapText="1"/>
    </xf>
    <xf numFmtId="165" fontId="4" fillId="4" borderId="0" xfId="0" applyNumberFormat="1" applyFont="1" applyFill="1" applyAlignment="1">
      <alignment vertical="top" wrapText="1"/>
    </xf>
    <xf numFmtId="165" fontId="0" fillId="0" borderId="0" xfId="0" applyNumberFormat="1" applyAlignment="1">
      <alignment vertical="top" wrapText="1"/>
    </xf>
    <xf numFmtId="164" fontId="4" fillId="4" borderId="0" xfId="0" applyNumberFormat="1" applyFont="1" applyFill="1" applyAlignment="1">
      <alignment vertical="top" wrapText="1"/>
    </xf>
    <xf numFmtId="166" fontId="5" fillId="0" borderId="0" xfId="0" applyNumberFormat="1" applyFont="1" applyAlignment="1">
      <alignment vertical="top" wrapText="1"/>
    </xf>
    <xf numFmtId="166" fontId="0" fillId="0" borderId="0" xfId="0" applyNumberFormat="1" applyAlignment="1">
      <alignment vertical="top" wrapText="1"/>
    </xf>
    <xf numFmtId="164" fontId="5" fillId="0" borderId="0" xfId="0" applyNumberFormat="1" applyFont="1" applyAlignment="1">
      <alignment vertical="top" wrapText="1"/>
    </xf>
    <xf numFmtId="0" fontId="6" fillId="0" borderId="2" xfId="0" applyFont="1" applyBorder="1" applyAlignment="1">
      <alignment vertical="top" wrapText="1"/>
    </xf>
    <xf numFmtId="164" fontId="7" fillId="0" borderId="2" xfId="0" applyNumberFormat="1" applyFont="1" applyBorder="1" applyAlignment="1">
      <alignment vertical="top" wrapText="1"/>
    </xf>
    <xf numFmtId="164" fontId="6" fillId="0" borderId="2" xfId="0" applyNumberFormat="1" applyFont="1" applyBorder="1" applyAlignment="1">
      <alignment vertical="top" wrapText="1"/>
    </xf>
    <xf numFmtId="166" fontId="6" fillId="0" borderId="2" xfId="0" applyNumberFormat="1" applyFont="1" applyBorder="1" applyAlignment="1">
      <alignment vertical="top" wrapText="1"/>
    </xf>
    <xf numFmtId="0" fontId="6" fillId="0" borderId="2" xfId="0" applyFont="1" applyBorder="1"/>
    <xf numFmtId="166" fontId="7" fillId="0" borderId="2" xfId="0" applyNumberFormat="1" applyFont="1" applyBorder="1" applyAlignment="1">
      <alignment vertical="top" wrapText="1"/>
    </xf>
    <xf numFmtId="0" fontId="8" fillId="0" borderId="2" xfId="0" applyFont="1" applyBorder="1" applyAlignment="1">
      <alignment vertical="top" wrapText="1"/>
    </xf>
    <xf numFmtId="165" fontId="8" fillId="0" borderId="2" xfId="0" applyNumberFormat="1" applyFont="1" applyBorder="1" applyAlignment="1">
      <alignment vertical="top" wrapText="1"/>
    </xf>
    <xf numFmtId="164" fontId="8" fillId="0" borderId="2" xfId="0" applyNumberFormat="1" applyFont="1" applyBorder="1" applyAlignment="1">
      <alignment vertical="top" wrapText="1"/>
    </xf>
    <xf numFmtId="166" fontId="8" fillId="0" borderId="2" xfId="0" applyNumberFormat="1" applyFont="1" applyBorder="1" applyAlignment="1">
      <alignment vertical="top" wrapText="1"/>
    </xf>
    <xf numFmtId="0" fontId="8" fillId="0" borderId="0" xfId="0" applyFont="1" applyAlignment="1">
      <alignment vertical="top" wrapText="1"/>
    </xf>
    <xf numFmtId="164" fontId="8" fillId="0" borderId="0" xfId="0" applyNumberFormat="1" applyFont="1" applyAlignment="1">
      <alignment vertical="top" wrapText="1"/>
    </xf>
    <xf numFmtId="0" fontId="8" fillId="0" borderId="0" xfId="0" applyFont="1"/>
    <xf numFmtId="166" fontId="4" fillId="4" borderId="0" xfId="0" applyNumberFormat="1" applyFont="1" applyFill="1" applyAlignment="1">
      <alignment vertical="top" wrapText="1"/>
    </xf>
    <xf numFmtId="167" fontId="0" fillId="0" borderId="0" xfId="0" applyNumberFormat="1" applyAlignment="1">
      <alignment vertical="top" wrapText="1"/>
    </xf>
    <xf numFmtId="168" fontId="0" fillId="0" borderId="0" xfId="0" applyNumberFormat="1" applyAlignment="1">
      <alignment vertical="top" wrapText="1"/>
    </xf>
    <xf numFmtId="166" fontId="3" fillId="3" borderId="1" xfId="0" applyNumberFormat="1" applyFont="1" applyFill="1" applyBorder="1" applyAlignment="1">
      <alignment vertical="top" wrapText="1"/>
    </xf>
    <xf numFmtId="0" fontId="0" fillId="0" borderId="0" xfId="0" applyAlignment="1">
      <alignment vertical="top" wrapText="1"/>
    </xf>
    <xf numFmtId="0" fontId="3" fillId="2" borderId="0" xfId="0" applyFont="1" applyFill="1" applyAlignment="1">
      <alignment vertical="top" wrapText="1"/>
    </xf>
    <xf numFmtId="0" fontId="1" fillId="2" borderId="0" xfId="0" applyFont="1" applyFill="1" applyAlignment="1">
      <alignment vertical="top" wrapText="1"/>
    </xf>
    <xf numFmtId="0" fontId="9" fillId="0" borderId="0" xfId="0" applyFont="1" applyAlignment="1">
      <alignment vertical="top" wrapText="1"/>
    </xf>
    <xf numFmtId="0" fontId="2" fillId="4" borderId="0" xfId="0" applyFont="1" applyFill="1" applyAlignment="1">
      <alignment vertical="top" wrapText="1"/>
    </xf>
  </cellXfs>
  <cellStyles count="1">
    <cellStyle name="Normal" xfId="0" builtinId="0"/>
  </cellStyles>
  <dxfs count="3"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4CCCC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17365D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5</xdr:col>
      <xdr:colOff>899160</xdr:colOff>
      <xdr:row>40</xdr:row>
      <xdr:rowOff>129540</xdr:rowOff>
    </xdr:to>
    <xdr:sp macro="" textlink="">
      <xdr:nvSpPr>
        <xdr:cNvPr id="1079" name="Text Box 55" hidden="1">
          <a:extLst>
            <a:ext uri="{FF2B5EF4-FFF2-40B4-BE49-F238E27FC236}">
              <a16:creationId xmlns:a16="http://schemas.microsoft.com/office/drawing/2014/main" id="{EEFFC46F-4DE3-5BD9-59C8-4A8AD5D33EED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899160</xdr:colOff>
      <xdr:row>40</xdr:row>
      <xdr:rowOff>129540</xdr:rowOff>
    </xdr:to>
    <xdr:sp macro="" textlink="">
      <xdr:nvSpPr>
        <xdr:cNvPr id="2" name="AutoShape 55">
          <a:extLst>
            <a:ext uri="{FF2B5EF4-FFF2-40B4-BE49-F238E27FC236}">
              <a16:creationId xmlns:a16="http://schemas.microsoft.com/office/drawing/2014/main" id="{F1A4CCA7-ACE4-F17E-11DC-308710DA4EC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556260</xdr:colOff>
      <xdr:row>35</xdr:row>
      <xdr:rowOff>129540</xdr:rowOff>
    </xdr:to>
    <xdr:sp macro="" textlink="">
      <xdr:nvSpPr>
        <xdr:cNvPr id="2061" name="Text Box 13" hidden="1">
          <a:extLst>
            <a:ext uri="{FF2B5EF4-FFF2-40B4-BE49-F238E27FC236}">
              <a16:creationId xmlns:a16="http://schemas.microsoft.com/office/drawing/2014/main" id="{76C65666-D5AC-B740-89F3-992F7162A479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556260</xdr:colOff>
      <xdr:row>35</xdr:row>
      <xdr:rowOff>129540</xdr:rowOff>
    </xdr:to>
    <xdr:sp macro="" textlink="">
      <xdr:nvSpPr>
        <xdr:cNvPr id="2" name="AutoShape 13">
          <a:extLst>
            <a:ext uri="{FF2B5EF4-FFF2-40B4-BE49-F238E27FC236}">
              <a16:creationId xmlns:a16="http://schemas.microsoft.com/office/drawing/2014/main" id="{95CCBBB0-92CB-EFE6-2263-9B0EBD26E1A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5</xdr:col>
      <xdr:colOff>1104900</xdr:colOff>
      <xdr:row>39</xdr:row>
      <xdr:rowOff>137160</xdr:rowOff>
    </xdr:to>
    <xdr:sp macro="" textlink="">
      <xdr:nvSpPr>
        <xdr:cNvPr id="3087" name="Text Box 15" hidden="1">
          <a:extLst>
            <a:ext uri="{FF2B5EF4-FFF2-40B4-BE49-F238E27FC236}">
              <a16:creationId xmlns:a16="http://schemas.microsoft.com/office/drawing/2014/main" id="{EC16A23B-065F-E14B-85E9-76829EDFC215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1104900</xdr:colOff>
      <xdr:row>39</xdr:row>
      <xdr:rowOff>137160</xdr:rowOff>
    </xdr:to>
    <xdr:sp macro="" textlink="">
      <xdr:nvSpPr>
        <xdr:cNvPr id="2" name="AutoShape 15">
          <a:extLst>
            <a:ext uri="{FF2B5EF4-FFF2-40B4-BE49-F238E27FC236}">
              <a16:creationId xmlns:a16="http://schemas.microsoft.com/office/drawing/2014/main" id="{6F6798D0-E840-0CA5-5B3C-F54E3335C35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5</xdr:col>
      <xdr:colOff>419100</xdr:colOff>
      <xdr:row>40</xdr:row>
      <xdr:rowOff>129540</xdr:rowOff>
    </xdr:to>
    <xdr:sp macro="" textlink="">
      <xdr:nvSpPr>
        <xdr:cNvPr id="4173" name="Text Box 77" hidden="1">
          <a:extLst>
            <a:ext uri="{FF2B5EF4-FFF2-40B4-BE49-F238E27FC236}">
              <a16:creationId xmlns:a16="http://schemas.microsoft.com/office/drawing/2014/main" id="{1617A866-B8A0-EACD-E5D7-F9D01A90928B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419100</xdr:colOff>
      <xdr:row>40</xdr:row>
      <xdr:rowOff>129540</xdr:rowOff>
    </xdr:to>
    <xdr:sp macro="" textlink="">
      <xdr:nvSpPr>
        <xdr:cNvPr id="2" name="AutoShape 77">
          <a:extLst>
            <a:ext uri="{FF2B5EF4-FFF2-40B4-BE49-F238E27FC236}">
              <a16:creationId xmlns:a16="http://schemas.microsoft.com/office/drawing/2014/main" id="{D276C33B-1349-9068-21E6-E67EC47D99A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4</xdr:col>
      <xdr:colOff>1584960</xdr:colOff>
      <xdr:row>39</xdr:row>
      <xdr:rowOff>114300</xdr:rowOff>
    </xdr:to>
    <xdr:sp macro="" textlink="">
      <xdr:nvSpPr>
        <xdr:cNvPr id="5133" name="Text Box 13" hidden="1">
          <a:extLst>
            <a:ext uri="{FF2B5EF4-FFF2-40B4-BE49-F238E27FC236}">
              <a16:creationId xmlns:a16="http://schemas.microsoft.com/office/drawing/2014/main" id="{A88C4039-B47E-8170-53CB-37A7DDEC4C81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1584960</xdr:colOff>
      <xdr:row>39</xdr:row>
      <xdr:rowOff>114300</xdr:rowOff>
    </xdr:to>
    <xdr:sp macro="" textlink="">
      <xdr:nvSpPr>
        <xdr:cNvPr id="2" name="AutoShape 13">
          <a:extLst>
            <a:ext uri="{FF2B5EF4-FFF2-40B4-BE49-F238E27FC236}">
              <a16:creationId xmlns:a16="http://schemas.microsoft.com/office/drawing/2014/main" id="{5EE351B4-18AE-1C57-4919-E8E890FDD35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2750820</xdr:colOff>
      <xdr:row>38</xdr:row>
      <xdr:rowOff>152400</xdr:rowOff>
    </xdr:to>
    <xdr:sp macro="" textlink="">
      <xdr:nvSpPr>
        <xdr:cNvPr id="6149" name="Text Box 5" hidden="1">
          <a:extLst>
            <a:ext uri="{FF2B5EF4-FFF2-40B4-BE49-F238E27FC236}">
              <a16:creationId xmlns:a16="http://schemas.microsoft.com/office/drawing/2014/main" id="{AB14B261-F453-5650-FDAC-1F964C2D447C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2750820</xdr:colOff>
      <xdr:row>38</xdr:row>
      <xdr:rowOff>152400</xdr:rowOff>
    </xdr:to>
    <xdr:sp macro="" textlink="">
      <xdr:nvSpPr>
        <xdr:cNvPr id="2" name="AutoShape 5">
          <a:extLst>
            <a:ext uri="{FF2B5EF4-FFF2-40B4-BE49-F238E27FC236}">
              <a16:creationId xmlns:a16="http://schemas.microsoft.com/office/drawing/2014/main" id="{8C293183-AE5F-1762-67BA-C65F363A10A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"/>
  <sheetViews>
    <sheetView showGridLines="0" tabSelected="1" workbookViewId="0">
      <selection activeCell="C37" sqref="C37"/>
    </sheetView>
  </sheetViews>
  <sheetFormatPr defaultColWidth="8.6640625" defaultRowHeight="14.4" x14ac:dyDescent="0.3"/>
  <cols>
    <col min="1" max="1" width="28" customWidth="1"/>
    <col min="2" max="2" width="18" customWidth="1"/>
    <col min="3" max="3" width="21" customWidth="1"/>
    <col min="4" max="4" width="15" customWidth="1"/>
    <col min="5" max="5" width="65" customWidth="1"/>
    <col min="6" max="7" width="15" customWidth="1"/>
  </cols>
  <sheetData>
    <row r="1" spans="1:7" ht="27.75" customHeight="1" x14ac:dyDescent="0.3">
      <c r="A1" s="30" t="s">
        <v>329</v>
      </c>
      <c r="B1" s="30"/>
      <c r="C1" s="30"/>
      <c r="D1" s="30"/>
      <c r="E1" s="30"/>
      <c r="F1" s="30"/>
      <c r="G1" s="30"/>
    </row>
    <row r="3" spans="1:7" ht="15" customHeight="1" x14ac:dyDescent="0.3">
      <c r="A3" s="2" t="s">
        <v>0</v>
      </c>
      <c r="B3" s="28" t="s">
        <v>330</v>
      </c>
      <c r="C3" s="28"/>
      <c r="D3" s="28"/>
      <c r="E3" s="28"/>
      <c r="F3" s="28"/>
      <c r="G3" s="28"/>
    </row>
    <row r="4" spans="1:7" ht="15" customHeight="1" x14ac:dyDescent="0.3">
      <c r="A4" s="2" t="s">
        <v>1</v>
      </c>
      <c r="B4" s="28" t="s">
        <v>2</v>
      </c>
      <c r="C4" s="28"/>
      <c r="D4" s="28"/>
      <c r="E4" s="28"/>
      <c r="F4" s="28"/>
      <c r="G4" s="28"/>
    </row>
    <row r="5" spans="1:7" ht="15" customHeight="1" x14ac:dyDescent="0.3">
      <c r="A5" s="2" t="s">
        <v>3</v>
      </c>
      <c r="B5" s="28" t="s">
        <v>4</v>
      </c>
      <c r="C5" s="28"/>
      <c r="D5" s="28"/>
      <c r="E5" s="28"/>
      <c r="F5" s="28"/>
      <c r="G5" s="28"/>
    </row>
    <row r="6" spans="1:7" ht="15" customHeight="1" x14ac:dyDescent="0.3">
      <c r="A6" s="2" t="s">
        <v>5</v>
      </c>
      <c r="B6" s="28" t="s">
        <v>6</v>
      </c>
      <c r="C6" s="28"/>
      <c r="D6" s="28"/>
      <c r="E6" s="28"/>
      <c r="F6" s="28"/>
      <c r="G6" s="28"/>
    </row>
    <row r="7" spans="1:7" ht="15" customHeight="1" x14ac:dyDescent="0.3">
      <c r="A7" s="2" t="s">
        <v>7</v>
      </c>
      <c r="B7" s="28" t="s">
        <v>8</v>
      </c>
      <c r="C7" s="28"/>
      <c r="D7" s="28"/>
      <c r="E7" s="28"/>
      <c r="F7" s="28"/>
      <c r="G7" s="28"/>
    </row>
    <row r="8" spans="1:7" ht="15" customHeight="1" x14ac:dyDescent="0.3">
      <c r="A8" s="2" t="s">
        <v>9</v>
      </c>
      <c r="B8" s="28" t="s">
        <v>331</v>
      </c>
      <c r="C8" s="28"/>
      <c r="D8" s="28"/>
      <c r="E8" s="28"/>
      <c r="F8" s="28"/>
      <c r="G8" s="28"/>
    </row>
    <row r="9" spans="1:7" ht="15" customHeight="1" x14ac:dyDescent="0.3">
      <c r="A9" s="2" t="s">
        <v>10</v>
      </c>
      <c r="B9" s="28" t="s">
        <v>11</v>
      </c>
      <c r="C9" s="28"/>
      <c r="D9" s="28"/>
      <c r="E9" s="28"/>
      <c r="F9" s="28"/>
      <c r="G9" s="28"/>
    </row>
    <row r="12" spans="1:7" ht="15" customHeight="1" x14ac:dyDescent="0.3">
      <c r="A12" s="29" t="s">
        <v>12</v>
      </c>
      <c r="B12" s="29"/>
      <c r="C12" s="29"/>
      <c r="D12" s="29"/>
      <c r="E12" s="29"/>
      <c r="F12" s="29"/>
      <c r="G12" s="29"/>
    </row>
    <row r="13" spans="1:7" x14ac:dyDescent="0.3">
      <c r="A13" s="3" t="s">
        <v>13</v>
      </c>
      <c r="B13" s="3" t="s">
        <v>14</v>
      </c>
      <c r="C13" s="3" t="s">
        <v>15</v>
      </c>
      <c r="D13" s="3" t="s">
        <v>16</v>
      </c>
      <c r="E13" s="3" t="s">
        <v>17</v>
      </c>
      <c r="F13" s="3"/>
      <c r="G13" s="3"/>
    </row>
    <row r="14" spans="1:7" x14ac:dyDescent="0.3">
      <c r="A14" s="1" t="s">
        <v>18</v>
      </c>
      <c r="B14" s="4">
        <v>0</v>
      </c>
      <c r="C14" s="4">
        <f>'03_PVM Bridge'!B20</f>
        <v>0</v>
      </c>
      <c r="D14" s="1" t="str">
        <f>IF(ABS(C14-B14)&lt;0.01,"PASS","FAIL")</f>
        <v>PASS</v>
      </c>
      <c r="E14" s="1" t="s">
        <v>19</v>
      </c>
    </row>
    <row r="15" spans="1:7" x14ac:dyDescent="0.3">
      <c r="A15" s="1" t="s">
        <v>20</v>
      </c>
      <c r="B15" s="4">
        <v>0</v>
      </c>
      <c r="C15" s="4">
        <f>'04_Labour Variance'!D16</f>
        <v>0</v>
      </c>
      <c r="D15" s="1" t="str">
        <f>IF(ABS(C15-B15)&lt;0.01,"PASS","FAIL")</f>
        <v>PASS</v>
      </c>
      <c r="E15" s="1" t="s">
        <v>21</v>
      </c>
    </row>
  </sheetData>
  <mergeCells count="9">
    <mergeCell ref="B7:G7"/>
    <mergeCell ref="B8:G8"/>
    <mergeCell ref="B9:G9"/>
    <mergeCell ref="A12:G12"/>
    <mergeCell ref="A1:G1"/>
    <mergeCell ref="B3:G3"/>
    <mergeCell ref="B4:G4"/>
    <mergeCell ref="B5:G5"/>
    <mergeCell ref="B6:G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8"/>
  <sheetViews>
    <sheetView showGridLines="0" workbookViewId="0">
      <selection sqref="A1:H1"/>
    </sheetView>
  </sheetViews>
  <sheetFormatPr defaultColWidth="8.6640625" defaultRowHeight="14.4" x14ac:dyDescent="0.3"/>
  <cols>
    <col min="1" max="1" width="28" customWidth="1"/>
    <col min="2" max="2" width="16" customWidth="1"/>
    <col min="3" max="5" width="18" customWidth="1"/>
    <col min="6" max="6" width="19" customWidth="1"/>
    <col min="7" max="7" width="20" customWidth="1"/>
    <col min="8" max="8" width="48" customWidth="1"/>
  </cols>
  <sheetData>
    <row r="1" spans="1:8" ht="27.75" customHeight="1" x14ac:dyDescent="0.3">
      <c r="A1" s="30" t="s">
        <v>22</v>
      </c>
      <c r="B1" s="30"/>
      <c r="C1" s="30"/>
      <c r="D1" s="30"/>
      <c r="E1" s="30"/>
      <c r="F1" s="30"/>
      <c r="G1" s="30"/>
      <c r="H1" s="30"/>
    </row>
    <row r="5" spans="1:8" x14ac:dyDescent="0.3">
      <c r="A5" s="3" t="s">
        <v>23</v>
      </c>
      <c r="B5" s="3" t="s">
        <v>24</v>
      </c>
      <c r="C5" s="3" t="s">
        <v>25</v>
      </c>
      <c r="D5" s="3" t="s">
        <v>26</v>
      </c>
      <c r="E5" s="3" t="s">
        <v>27</v>
      </c>
      <c r="F5" s="3" t="s">
        <v>28</v>
      </c>
      <c r="G5" s="3" t="s">
        <v>29</v>
      </c>
      <c r="H5" s="3" t="s">
        <v>30</v>
      </c>
    </row>
    <row r="6" spans="1:8" x14ac:dyDescent="0.3">
      <c r="A6" s="1" t="s">
        <v>31</v>
      </c>
      <c r="B6" s="1" t="s">
        <v>32</v>
      </c>
      <c r="C6" s="5">
        <v>305</v>
      </c>
      <c r="D6" s="5">
        <v>305</v>
      </c>
      <c r="E6" s="5">
        <v>305</v>
      </c>
      <c r="F6" s="6">
        <f t="shared" ref="F6:F24" si="0">D6-C6</f>
        <v>0</v>
      </c>
      <c r="G6" s="6">
        <f t="shared" ref="G6:G24" si="1">E6-C6</f>
        <v>0</v>
      </c>
      <c r="H6" s="1" t="s">
        <v>33</v>
      </c>
    </row>
    <row r="7" spans="1:8" x14ac:dyDescent="0.3">
      <c r="A7" s="1" t="s">
        <v>34</v>
      </c>
      <c r="B7" s="1" t="s">
        <v>32</v>
      </c>
      <c r="C7" s="5">
        <v>5</v>
      </c>
      <c r="D7" s="5">
        <v>5</v>
      </c>
      <c r="E7" s="5">
        <v>5</v>
      </c>
      <c r="F7" s="6">
        <f t="shared" si="0"/>
        <v>0</v>
      </c>
      <c r="G7" s="6">
        <f t="shared" si="1"/>
        <v>0</v>
      </c>
      <c r="H7" s="1" t="s">
        <v>35</v>
      </c>
    </row>
    <row r="8" spans="1:8" x14ac:dyDescent="0.3">
      <c r="A8" s="1" t="s">
        <v>36</v>
      </c>
      <c r="B8" s="1" t="s">
        <v>37</v>
      </c>
      <c r="C8" s="5">
        <v>30</v>
      </c>
      <c r="D8" s="5">
        <v>30</v>
      </c>
      <c r="E8" s="5">
        <v>30</v>
      </c>
      <c r="F8" s="6">
        <f t="shared" si="0"/>
        <v>0</v>
      </c>
      <c r="G8" s="6">
        <f t="shared" si="1"/>
        <v>0</v>
      </c>
      <c r="H8" s="1" t="s">
        <v>38</v>
      </c>
    </row>
    <row r="9" spans="1:8" x14ac:dyDescent="0.3">
      <c r="A9" s="1" t="s">
        <v>39</v>
      </c>
      <c r="B9" s="1" t="s">
        <v>40</v>
      </c>
      <c r="C9" s="6">
        <f>(C6-C7)*C8</f>
        <v>9000</v>
      </c>
      <c r="D9" s="6">
        <f>(D6-D7)*D8</f>
        <v>9000</v>
      </c>
      <c r="E9" s="6">
        <f>(E6-E7)*E8</f>
        <v>9000</v>
      </c>
      <c r="F9" s="6">
        <f t="shared" si="0"/>
        <v>0</v>
      </c>
      <c r="G9" s="6">
        <f t="shared" si="1"/>
        <v>0</v>
      </c>
      <c r="H9" s="1" t="s">
        <v>41</v>
      </c>
    </row>
    <row r="10" spans="1:8" x14ac:dyDescent="0.3">
      <c r="A10" s="1" t="s">
        <v>42</v>
      </c>
      <c r="B10" s="1" t="s">
        <v>40</v>
      </c>
      <c r="C10" s="5">
        <v>7200</v>
      </c>
      <c r="D10" s="5">
        <v>7350</v>
      </c>
      <c r="E10" s="5">
        <v>7470</v>
      </c>
      <c r="F10" s="6">
        <f t="shared" si="0"/>
        <v>150</v>
      </c>
      <c r="G10" s="6">
        <f t="shared" si="1"/>
        <v>270</v>
      </c>
      <c r="H10" s="1" t="s">
        <v>43</v>
      </c>
    </row>
    <row r="11" spans="1:8" x14ac:dyDescent="0.3">
      <c r="A11" s="1" t="s">
        <v>44</v>
      </c>
      <c r="B11" s="1" t="s">
        <v>45</v>
      </c>
      <c r="C11" s="7">
        <v>18000000</v>
      </c>
      <c r="D11" s="7">
        <v>17640000</v>
      </c>
      <c r="E11" s="7">
        <v>18110520</v>
      </c>
      <c r="F11" s="4">
        <f t="shared" si="0"/>
        <v>-360000</v>
      </c>
      <c r="G11" s="4">
        <f t="shared" si="1"/>
        <v>110520</v>
      </c>
      <c r="H11" s="1" t="s">
        <v>44</v>
      </c>
    </row>
    <row r="12" spans="1:8" x14ac:dyDescent="0.3">
      <c r="A12" s="1" t="s">
        <v>46</v>
      </c>
      <c r="B12" s="1" t="s">
        <v>45</v>
      </c>
      <c r="C12" s="7">
        <v>8000000</v>
      </c>
      <c r="D12" s="7">
        <v>8400000</v>
      </c>
      <c r="E12" s="7">
        <v>8620000</v>
      </c>
      <c r="F12" s="4">
        <f t="shared" si="0"/>
        <v>400000</v>
      </c>
      <c r="G12" s="4">
        <f t="shared" si="1"/>
        <v>620000</v>
      </c>
      <c r="H12" s="1" t="s">
        <v>47</v>
      </c>
    </row>
    <row r="13" spans="1:8" x14ac:dyDescent="0.3">
      <c r="A13" s="1" t="s">
        <v>48</v>
      </c>
      <c r="B13" s="1" t="s">
        <v>45</v>
      </c>
      <c r="C13" s="7">
        <v>2000000</v>
      </c>
      <c r="D13" s="7">
        <v>1900000</v>
      </c>
      <c r="E13" s="7">
        <v>1950000</v>
      </c>
      <c r="F13" s="4">
        <f t="shared" si="0"/>
        <v>-100000</v>
      </c>
      <c r="G13" s="4">
        <f t="shared" si="1"/>
        <v>-50000</v>
      </c>
      <c r="H13" s="1" t="s">
        <v>49</v>
      </c>
    </row>
    <row r="14" spans="1:8" x14ac:dyDescent="0.3">
      <c r="A14" s="1" t="s">
        <v>50</v>
      </c>
      <c r="B14" s="1" t="s">
        <v>51</v>
      </c>
      <c r="C14" s="5">
        <v>170000</v>
      </c>
      <c r="D14" s="5">
        <v>174000</v>
      </c>
      <c r="E14" s="5">
        <v>172000</v>
      </c>
      <c r="F14" s="6">
        <f t="shared" si="0"/>
        <v>4000</v>
      </c>
      <c r="G14" s="6">
        <f t="shared" si="1"/>
        <v>2000</v>
      </c>
      <c r="H14" s="1" t="s">
        <v>52</v>
      </c>
    </row>
    <row r="15" spans="1:8" x14ac:dyDescent="0.3">
      <c r="A15" s="1" t="s">
        <v>53</v>
      </c>
      <c r="B15" s="1" t="s">
        <v>54</v>
      </c>
      <c r="C15" s="7">
        <v>40</v>
      </c>
      <c r="D15" s="7">
        <v>41</v>
      </c>
      <c r="E15" s="7">
        <v>41</v>
      </c>
      <c r="F15" s="4">
        <f t="shared" si="0"/>
        <v>1</v>
      </c>
      <c r="G15" s="4">
        <f t="shared" si="1"/>
        <v>1</v>
      </c>
      <c r="H15" s="1" t="s">
        <v>55</v>
      </c>
    </row>
    <row r="16" spans="1:8" x14ac:dyDescent="0.3">
      <c r="A16" s="1" t="s">
        <v>56</v>
      </c>
      <c r="B16" s="1" t="s">
        <v>51</v>
      </c>
      <c r="C16" s="5">
        <v>2000</v>
      </c>
      <c r="D16" s="5">
        <v>3400</v>
      </c>
      <c r="E16" s="5">
        <v>2900</v>
      </c>
      <c r="F16" s="6">
        <f t="shared" si="0"/>
        <v>1400</v>
      </c>
      <c r="G16" s="6">
        <f t="shared" si="1"/>
        <v>900</v>
      </c>
      <c r="H16" s="1" t="s">
        <v>57</v>
      </c>
    </row>
    <row r="17" spans="1:8" x14ac:dyDescent="0.3">
      <c r="A17" s="1" t="s">
        <v>58</v>
      </c>
      <c r="B17" s="1" t="s">
        <v>54</v>
      </c>
      <c r="C17" s="7">
        <v>20</v>
      </c>
      <c r="D17" s="7">
        <v>22</v>
      </c>
      <c r="E17" s="7">
        <v>22</v>
      </c>
      <c r="F17" s="4">
        <f t="shared" si="0"/>
        <v>2</v>
      </c>
      <c r="G17" s="4">
        <f t="shared" si="1"/>
        <v>2</v>
      </c>
      <c r="H17" s="1" t="s">
        <v>59</v>
      </c>
    </row>
    <row r="18" spans="1:8" x14ac:dyDescent="0.3">
      <c r="A18" s="1" t="s">
        <v>60</v>
      </c>
      <c r="B18" s="1" t="s">
        <v>51</v>
      </c>
      <c r="C18" s="5">
        <v>10000</v>
      </c>
      <c r="D18" s="5">
        <v>15200</v>
      </c>
      <c r="E18" s="5">
        <v>12500</v>
      </c>
      <c r="F18" s="6">
        <f t="shared" si="0"/>
        <v>5200</v>
      </c>
      <c r="G18" s="6">
        <f t="shared" si="1"/>
        <v>2500</v>
      </c>
      <c r="H18" s="1" t="s">
        <v>60</v>
      </c>
    </row>
    <row r="19" spans="1:8" x14ac:dyDescent="0.3">
      <c r="A19" s="1" t="s">
        <v>61</v>
      </c>
      <c r="B19" s="1" t="s">
        <v>54</v>
      </c>
      <c r="C19" s="7">
        <v>50</v>
      </c>
      <c r="D19" s="7">
        <v>60</v>
      </c>
      <c r="E19" s="7">
        <v>58</v>
      </c>
      <c r="F19" s="4">
        <f t="shared" si="0"/>
        <v>10</v>
      </c>
      <c r="G19" s="4">
        <f t="shared" si="1"/>
        <v>8</v>
      </c>
      <c r="H19" s="1" t="s">
        <v>62</v>
      </c>
    </row>
    <row r="20" spans="1:8" x14ac:dyDescent="0.3">
      <c r="A20" s="1" t="s">
        <v>63</v>
      </c>
      <c r="B20" s="1" t="s">
        <v>45</v>
      </c>
      <c r="C20" s="7">
        <v>1060000</v>
      </c>
      <c r="D20" s="7">
        <v>1119200</v>
      </c>
      <c r="E20" s="7">
        <v>1090000</v>
      </c>
      <c r="F20" s="4">
        <f t="shared" si="0"/>
        <v>59200</v>
      </c>
      <c r="G20" s="4">
        <f t="shared" si="1"/>
        <v>30000</v>
      </c>
      <c r="H20" s="1" t="s">
        <v>64</v>
      </c>
    </row>
    <row r="21" spans="1:8" x14ac:dyDescent="0.3">
      <c r="A21" s="1" t="s">
        <v>65</v>
      </c>
      <c r="B21" s="1" t="s">
        <v>45</v>
      </c>
      <c r="C21" s="7">
        <v>2560000</v>
      </c>
      <c r="D21" s="7">
        <v>2940000</v>
      </c>
      <c r="E21" s="7">
        <v>2887700</v>
      </c>
      <c r="F21" s="4">
        <f t="shared" si="0"/>
        <v>380000</v>
      </c>
      <c r="G21" s="4">
        <f t="shared" si="1"/>
        <v>327700</v>
      </c>
      <c r="H21" s="1" t="s">
        <v>66</v>
      </c>
    </row>
    <row r="22" spans="1:8" x14ac:dyDescent="0.3">
      <c r="A22" s="1" t="s">
        <v>67</v>
      </c>
      <c r="B22" s="1" t="s">
        <v>45</v>
      </c>
      <c r="C22" s="7">
        <v>1200000</v>
      </c>
      <c r="D22" s="7">
        <v>1300000</v>
      </c>
      <c r="E22" s="7">
        <v>1270000</v>
      </c>
      <c r="F22" s="4">
        <f t="shared" si="0"/>
        <v>100000</v>
      </c>
      <c r="G22" s="4">
        <f t="shared" si="1"/>
        <v>70000</v>
      </c>
      <c r="H22" s="1" t="s">
        <v>67</v>
      </c>
    </row>
    <row r="23" spans="1:8" x14ac:dyDescent="0.3">
      <c r="A23" s="1" t="s">
        <v>68</v>
      </c>
      <c r="B23" s="1" t="s">
        <v>45</v>
      </c>
      <c r="C23" s="7">
        <v>5040000</v>
      </c>
      <c r="D23" s="7">
        <v>5160000</v>
      </c>
      <c r="E23" s="7">
        <v>5090000</v>
      </c>
      <c r="F23" s="4">
        <f t="shared" si="0"/>
        <v>120000</v>
      </c>
      <c r="G23" s="4">
        <f t="shared" si="1"/>
        <v>50000</v>
      </c>
      <c r="H23" s="1" t="s">
        <v>69</v>
      </c>
    </row>
    <row r="24" spans="1:8" x14ac:dyDescent="0.3">
      <c r="A24" s="1" t="s">
        <v>70</v>
      </c>
      <c r="B24" s="1" t="s">
        <v>71</v>
      </c>
      <c r="C24" s="5">
        <v>90</v>
      </c>
      <c r="D24" s="5">
        <v>88</v>
      </c>
      <c r="E24" s="5">
        <v>89</v>
      </c>
      <c r="F24" s="6">
        <f t="shared" si="0"/>
        <v>-2</v>
      </c>
      <c r="G24" s="6">
        <f t="shared" si="1"/>
        <v>-1</v>
      </c>
      <c r="H24" s="1" t="s">
        <v>72</v>
      </c>
    </row>
    <row r="27" spans="1:8" ht="15" customHeight="1" x14ac:dyDescent="0.3">
      <c r="A27" s="29" t="s">
        <v>73</v>
      </c>
      <c r="B27" s="29"/>
      <c r="C27" s="29"/>
      <c r="D27" s="29"/>
      <c r="E27" s="29"/>
      <c r="F27" s="29"/>
      <c r="G27" s="29"/>
      <c r="H27" s="29"/>
    </row>
    <row r="28" spans="1:8" x14ac:dyDescent="0.3">
      <c r="A28" s="3" t="s">
        <v>74</v>
      </c>
      <c r="B28" s="3" t="s">
        <v>24</v>
      </c>
      <c r="C28" s="3" t="s">
        <v>25</v>
      </c>
      <c r="D28" s="3" t="s">
        <v>26</v>
      </c>
      <c r="E28" s="3" t="s">
        <v>27</v>
      </c>
      <c r="F28" s="3" t="s">
        <v>28</v>
      </c>
      <c r="G28" s="3" t="s">
        <v>29</v>
      </c>
      <c r="H28" s="3" t="s">
        <v>75</v>
      </c>
    </row>
    <row r="29" spans="1:8" x14ac:dyDescent="0.3">
      <c r="A29" s="1" t="s">
        <v>76</v>
      </c>
      <c r="B29" s="1" t="s">
        <v>77</v>
      </c>
      <c r="C29" s="8">
        <f t="shared" ref="C29:E30" si="2">C10/C9</f>
        <v>0.8</v>
      </c>
      <c r="D29" s="8">
        <f t="shared" si="2"/>
        <v>0.81666666666666665</v>
      </c>
      <c r="E29" s="8">
        <f t="shared" si="2"/>
        <v>0.83</v>
      </c>
      <c r="F29" s="9">
        <f t="shared" ref="F29:F38" si="3">D29-C29</f>
        <v>1.6666666666666607E-2</v>
      </c>
      <c r="G29" s="9">
        <f t="shared" ref="G29:G38" si="4">E29-C29</f>
        <v>2.9999999999999916E-2</v>
      </c>
      <c r="H29" s="1" t="s">
        <v>78</v>
      </c>
    </row>
    <row r="30" spans="1:8" x14ac:dyDescent="0.3">
      <c r="A30" s="1" t="s">
        <v>79</v>
      </c>
      <c r="B30" s="1" t="s">
        <v>45</v>
      </c>
      <c r="C30" s="10">
        <f t="shared" si="2"/>
        <v>2500</v>
      </c>
      <c r="D30" s="10">
        <f t="shared" si="2"/>
        <v>2400</v>
      </c>
      <c r="E30" s="10">
        <f t="shared" si="2"/>
        <v>2424.4337349397592</v>
      </c>
      <c r="F30" s="4">
        <f t="shared" si="3"/>
        <v>-100</v>
      </c>
      <c r="G30" s="4">
        <f t="shared" si="4"/>
        <v>-75.566265060240767</v>
      </c>
      <c r="H30" s="1" t="s">
        <v>80</v>
      </c>
    </row>
    <row r="31" spans="1:8" x14ac:dyDescent="0.3">
      <c r="A31" s="1" t="s">
        <v>81</v>
      </c>
      <c r="B31" s="1" t="s">
        <v>45</v>
      </c>
      <c r="C31" s="10">
        <f>C11/C9</f>
        <v>2000</v>
      </c>
      <c r="D31" s="10">
        <f>D11/D9</f>
        <v>1960</v>
      </c>
      <c r="E31" s="10">
        <f>E11/E9</f>
        <v>2012.28</v>
      </c>
      <c r="F31" s="4">
        <f t="shared" si="3"/>
        <v>-40</v>
      </c>
      <c r="G31" s="4">
        <f t="shared" si="4"/>
        <v>12.279999999999973</v>
      </c>
      <c r="H31" s="1" t="s">
        <v>82</v>
      </c>
    </row>
    <row r="32" spans="1:8" x14ac:dyDescent="0.3">
      <c r="A32" s="1" t="s">
        <v>83</v>
      </c>
      <c r="B32" s="1" t="s">
        <v>77</v>
      </c>
      <c r="C32" s="8">
        <f>C21/C12</f>
        <v>0.32</v>
      </c>
      <c r="D32" s="8">
        <f>D21/D12</f>
        <v>0.35</v>
      </c>
      <c r="E32" s="8">
        <f>E21/E12</f>
        <v>0.33500000000000002</v>
      </c>
      <c r="F32" s="9">
        <f t="shared" si="3"/>
        <v>2.9999999999999971E-2</v>
      </c>
      <c r="G32" s="9">
        <f t="shared" si="4"/>
        <v>1.5000000000000013E-2</v>
      </c>
      <c r="H32" s="1" t="s">
        <v>84</v>
      </c>
    </row>
    <row r="33" spans="1:8" x14ac:dyDescent="0.3">
      <c r="A33" s="1" t="s">
        <v>85</v>
      </c>
      <c r="B33" s="1" t="s">
        <v>45</v>
      </c>
      <c r="C33" s="10">
        <f>C14*C15+C16*C17+C18*C19+C20</f>
        <v>8400000</v>
      </c>
      <c r="D33" s="10">
        <f>D14*D15+D16*D17+D18*D19+D20</f>
        <v>9240000</v>
      </c>
      <c r="E33" s="10">
        <f>E14*E15+E16*E17+E18*E19+E20</f>
        <v>8930800</v>
      </c>
      <c r="F33" s="4">
        <f t="shared" si="3"/>
        <v>840000</v>
      </c>
      <c r="G33" s="4">
        <f t="shared" si="4"/>
        <v>530800</v>
      </c>
      <c r="H33" s="1" t="s">
        <v>86</v>
      </c>
    </row>
    <row r="34" spans="1:8" x14ac:dyDescent="0.3">
      <c r="A34" s="1" t="s">
        <v>87</v>
      </c>
      <c r="B34" s="1" t="s">
        <v>45</v>
      </c>
      <c r="C34" s="10">
        <f>SUM(C11:C13)</f>
        <v>28000000</v>
      </c>
      <c r="D34" s="10">
        <f>SUM(D11:D13)</f>
        <v>27940000</v>
      </c>
      <c r="E34" s="10">
        <f>SUM(E11:E13)</f>
        <v>28680520</v>
      </c>
      <c r="F34" s="4">
        <f t="shared" si="3"/>
        <v>-60000</v>
      </c>
      <c r="G34" s="4">
        <f t="shared" si="4"/>
        <v>680520</v>
      </c>
      <c r="H34" s="1" t="s">
        <v>88</v>
      </c>
    </row>
    <row r="35" spans="1:8" x14ac:dyDescent="0.3">
      <c r="A35" s="1" t="s">
        <v>89</v>
      </c>
      <c r="B35" s="1" t="s">
        <v>45</v>
      </c>
      <c r="C35" s="10">
        <f>SUM(C33,C21:C23)</f>
        <v>17200000</v>
      </c>
      <c r="D35" s="10">
        <f>SUM(D33,D21:D23)</f>
        <v>18640000</v>
      </c>
      <c r="E35" s="10">
        <f>SUM(E33,E21:E23)</f>
        <v>18178500</v>
      </c>
      <c r="F35" s="4">
        <f t="shared" si="3"/>
        <v>1440000</v>
      </c>
      <c r="G35" s="4">
        <f t="shared" si="4"/>
        <v>978500</v>
      </c>
      <c r="H35" s="1" t="s">
        <v>90</v>
      </c>
    </row>
    <row r="36" spans="1:8" x14ac:dyDescent="0.3">
      <c r="A36" s="1" t="s">
        <v>91</v>
      </c>
      <c r="B36" s="1" t="s">
        <v>45</v>
      </c>
      <c r="C36" s="10">
        <f>C34-C35</f>
        <v>10800000</v>
      </c>
      <c r="D36" s="10">
        <f>D34-D35</f>
        <v>9300000</v>
      </c>
      <c r="E36" s="10">
        <f>E34-E35</f>
        <v>10502020</v>
      </c>
      <c r="F36" s="4">
        <f t="shared" si="3"/>
        <v>-1500000</v>
      </c>
      <c r="G36" s="4">
        <f t="shared" si="4"/>
        <v>-297980</v>
      </c>
      <c r="H36" s="1" t="s">
        <v>92</v>
      </c>
    </row>
    <row r="37" spans="1:8" x14ac:dyDescent="0.3">
      <c r="A37" s="1" t="s">
        <v>93</v>
      </c>
      <c r="B37" s="1" t="s">
        <v>77</v>
      </c>
      <c r="C37" s="8">
        <f>C36/C34</f>
        <v>0.38571428571428573</v>
      </c>
      <c r="D37" s="8">
        <f>D36/D34</f>
        <v>0.33285612025769507</v>
      </c>
      <c r="E37" s="8">
        <f>E36/E34</f>
        <v>0.36617257985559537</v>
      </c>
      <c r="F37" s="9">
        <f t="shared" si="3"/>
        <v>-5.2858165456590667E-2</v>
      </c>
      <c r="G37" s="9">
        <f t="shared" si="4"/>
        <v>-1.9541705858690361E-2</v>
      </c>
      <c r="H37" s="1" t="s">
        <v>94</v>
      </c>
    </row>
    <row r="38" spans="1:8" x14ac:dyDescent="0.3">
      <c r="A38" s="1" t="s">
        <v>95</v>
      </c>
      <c r="B38" s="1" t="s">
        <v>45</v>
      </c>
      <c r="C38" s="10">
        <f>C36/C9</f>
        <v>1200</v>
      </c>
      <c r="D38" s="10">
        <f>D36/D9</f>
        <v>1033.3333333333333</v>
      </c>
      <c r="E38" s="10">
        <f>E36/E9</f>
        <v>1166.8911111111111</v>
      </c>
      <c r="F38" s="4">
        <f t="shared" si="3"/>
        <v>-166.66666666666674</v>
      </c>
      <c r="G38" s="4">
        <f t="shared" si="4"/>
        <v>-33.108888888888941</v>
      </c>
      <c r="H38" s="1" t="s">
        <v>96</v>
      </c>
    </row>
  </sheetData>
  <mergeCells count="2">
    <mergeCell ref="A1:H1"/>
    <mergeCell ref="A27:H27"/>
  </mergeCells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6"/>
  <sheetViews>
    <sheetView showGridLines="0" workbookViewId="0">
      <selection sqref="A1:J1"/>
    </sheetView>
  </sheetViews>
  <sheetFormatPr defaultColWidth="8.6640625" defaultRowHeight="14.4" x14ac:dyDescent="0.3"/>
  <cols>
    <col min="1" max="1" width="28" customWidth="1"/>
    <col min="2" max="5" width="18" customWidth="1"/>
    <col min="6" max="6" width="20" customWidth="1"/>
    <col min="7" max="7" width="15" customWidth="1"/>
    <col min="8" max="8" width="21" customWidth="1"/>
    <col min="9" max="9" width="25" customWidth="1"/>
    <col min="10" max="10" width="48" customWidth="1"/>
  </cols>
  <sheetData>
    <row r="1" spans="1:10" ht="27.75" customHeight="1" x14ac:dyDescent="0.3">
      <c r="A1" s="30" t="s">
        <v>97</v>
      </c>
      <c r="B1" s="30"/>
      <c r="C1" s="30"/>
      <c r="D1" s="30"/>
      <c r="E1" s="30"/>
      <c r="F1" s="30"/>
      <c r="G1" s="30"/>
      <c r="H1" s="30"/>
      <c r="I1" s="30"/>
      <c r="J1" s="30"/>
    </row>
    <row r="5" spans="1:10" x14ac:dyDescent="0.3">
      <c r="A5" s="3" t="s">
        <v>98</v>
      </c>
      <c r="B5" s="3" t="s">
        <v>99</v>
      </c>
      <c r="C5" s="3" t="s">
        <v>25</v>
      </c>
      <c r="D5" s="3" t="s">
        <v>26</v>
      </c>
      <c r="E5" s="3" t="s">
        <v>100</v>
      </c>
      <c r="F5" s="3" t="s">
        <v>101</v>
      </c>
      <c r="G5" s="3" t="s">
        <v>102</v>
      </c>
      <c r="H5" s="3" t="s">
        <v>103</v>
      </c>
      <c r="I5" s="3" t="s">
        <v>104</v>
      </c>
      <c r="J5" s="3" t="s">
        <v>105</v>
      </c>
    </row>
    <row r="6" spans="1:10" x14ac:dyDescent="0.3">
      <c r="A6" s="1" t="s">
        <v>44</v>
      </c>
      <c r="B6" s="1" t="s">
        <v>106</v>
      </c>
      <c r="C6" s="10">
        <f>'01_Inputs KPIs'!C11</f>
        <v>18000000</v>
      </c>
      <c r="D6" s="10">
        <f>'01_Inputs KPIs'!D11</f>
        <v>17640000</v>
      </c>
      <c r="E6" s="10">
        <f>'01_Inputs KPIs'!E11</f>
        <v>18110520</v>
      </c>
      <c r="F6" s="4">
        <f>D6-C6</f>
        <v>-360000</v>
      </c>
      <c r="G6" s="9">
        <f>IFERROR(F6/ABS(C6),0)</f>
        <v>-0.02</v>
      </c>
      <c r="H6" s="4">
        <f>E6-C6</f>
        <v>110520</v>
      </c>
      <c r="I6" s="1" t="s">
        <v>107</v>
      </c>
      <c r="J6" s="1" t="s">
        <v>108</v>
      </c>
    </row>
    <row r="7" spans="1:10" x14ac:dyDescent="0.3">
      <c r="A7" s="1" t="s">
        <v>46</v>
      </c>
      <c r="B7" s="1" t="s">
        <v>106</v>
      </c>
      <c r="C7" s="10">
        <f>'01_Inputs KPIs'!C12</f>
        <v>8000000</v>
      </c>
      <c r="D7" s="10">
        <f>'01_Inputs KPIs'!D12</f>
        <v>8400000</v>
      </c>
      <c r="E7" s="10">
        <f>'01_Inputs KPIs'!E12</f>
        <v>8620000</v>
      </c>
      <c r="F7" s="4">
        <f>D7-C7</f>
        <v>400000</v>
      </c>
      <c r="G7" s="9">
        <f>IFERROR(F7/ABS(C7),0)</f>
        <v>0.05</v>
      </c>
      <c r="H7" s="4">
        <f>E7-C7</f>
        <v>620000</v>
      </c>
    </row>
    <row r="8" spans="1:10" x14ac:dyDescent="0.3">
      <c r="A8" s="1" t="s">
        <v>48</v>
      </c>
      <c r="B8" s="1" t="s">
        <v>106</v>
      </c>
      <c r="C8" s="10">
        <f>'01_Inputs KPIs'!C13</f>
        <v>2000000</v>
      </c>
      <c r="D8" s="10">
        <f>'01_Inputs KPIs'!D13</f>
        <v>1900000</v>
      </c>
      <c r="E8" s="10">
        <f>'01_Inputs KPIs'!E13</f>
        <v>1950000</v>
      </c>
      <c r="F8" s="4">
        <f>D8-C8</f>
        <v>-100000</v>
      </c>
      <c r="G8" s="9">
        <f>IFERROR(F8/ABS(C8),0)</f>
        <v>-0.05</v>
      </c>
      <c r="H8" s="4">
        <f>E8-C8</f>
        <v>-50000</v>
      </c>
    </row>
    <row r="10" spans="1:10" x14ac:dyDescent="0.3">
      <c r="A10" s="11" t="s">
        <v>87</v>
      </c>
      <c r="B10" s="11" t="s">
        <v>109</v>
      </c>
      <c r="C10" s="12">
        <f>SUM(C6:C8)</f>
        <v>28000000</v>
      </c>
      <c r="D10" s="12">
        <f>SUM(D6:D8)</f>
        <v>27940000</v>
      </c>
      <c r="E10" s="12">
        <f>SUM(E6:E8)</f>
        <v>28680520</v>
      </c>
      <c r="F10" s="13">
        <f>D10-C10</f>
        <v>-60000</v>
      </c>
      <c r="G10" s="14">
        <f>IFERROR(F10/ABS(C10),0)</f>
        <v>-2.142857142857143E-3</v>
      </c>
      <c r="H10" s="13">
        <f>E10-C10</f>
        <v>680520</v>
      </c>
      <c r="I10" s="15"/>
      <c r="J10" s="15"/>
    </row>
    <row r="12" spans="1:10" x14ac:dyDescent="0.3">
      <c r="A12" s="1" t="s">
        <v>110</v>
      </c>
      <c r="B12" s="1" t="s">
        <v>111</v>
      </c>
      <c r="C12" s="10">
        <f>'01_Inputs KPIs'!C14*'01_Inputs KPIs'!C15</f>
        <v>6800000</v>
      </c>
      <c r="D12" s="10">
        <f>'01_Inputs KPIs'!D14*'01_Inputs KPIs'!D15</f>
        <v>7134000</v>
      </c>
      <c r="E12" s="10">
        <f>'01_Inputs KPIs'!E14*'01_Inputs KPIs'!E15</f>
        <v>7052000</v>
      </c>
      <c r="F12" s="4">
        <f>C12-D12</f>
        <v>-334000</v>
      </c>
      <c r="G12" s="9">
        <f>IFERROR(F12/ABS(C12),0)</f>
        <v>-4.911764705882353E-2</v>
      </c>
      <c r="H12" s="4">
        <f>C12-E12</f>
        <v>-252000</v>
      </c>
    </row>
    <row r="13" spans="1:10" x14ac:dyDescent="0.3">
      <c r="A13" s="1" t="s">
        <v>58</v>
      </c>
      <c r="B13" s="1" t="s">
        <v>111</v>
      </c>
      <c r="C13" s="10">
        <f>'01_Inputs KPIs'!C16*'01_Inputs KPIs'!C17</f>
        <v>40000</v>
      </c>
      <c r="D13" s="10">
        <f>'01_Inputs KPIs'!D16*'01_Inputs KPIs'!D17</f>
        <v>74800</v>
      </c>
      <c r="E13" s="10">
        <f>'01_Inputs KPIs'!E16*'01_Inputs KPIs'!E17</f>
        <v>63800</v>
      </c>
      <c r="F13" s="4">
        <f>C13-D13</f>
        <v>-34800</v>
      </c>
      <c r="G13" s="9">
        <f>IFERROR(F13/ABS(C13),0)</f>
        <v>-0.87</v>
      </c>
      <c r="H13" s="4">
        <f>C13-E13</f>
        <v>-23800</v>
      </c>
    </row>
    <row r="14" spans="1:10" x14ac:dyDescent="0.3">
      <c r="A14" s="1" t="s">
        <v>112</v>
      </c>
      <c r="B14" s="1" t="s">
        <v>111</v>
      </c>
      <c r="C14" s="10">
        <f>'01_Inputs KPIs'!C18*'01_Inputs KPIs'!C19</f>
        <v>500000</v>
      </c>
      <c r="D14" s="10">
        <f>'01_Inputs KPIs'!D18*'01_Inputs KPIs'!D19</f>
        <v>912000</v>
      </c>
      <c r="E14" s="10">
        <f>'01_Inputs KPIs'!E18*'01_Inputs KPIs'!E19</f>
        <v>725000</v>
      </c>
      <c r="F14" s="4">
        <f>C14-D14</f>
        <v>-412000</v>
      </c>
      <c r="G14" s="9">
        <f>IFERROR(F14/ABS(C14),0)</f>
        <v>-0.82399999999999995</v>
      </c>
      <c r="H14" s="4">
        <f>C14-E14</f>
        <v>-225000</v>
      </c>
    </row>
    <row r="15" spans="1:10" x14ac:dyDescent="0.3">
      <c r="A15" s="1" t="s">
        <v>63</v>
      </c>
      <c r="B15" s="1" t="s">
        <v>113</v>
      </c>
      <c r="C15" s="10">
        <f>'01_Inputs KPIs'!C20</f>
        <v>1060000</v>
      </c>
      <c r="D15" s="10">
        <f>'01_Inputs KPIs'!D20</f>
        <v>1119200</v>
      </c>
      <c r="E15" s="10">
        <f>'01_Inputs KPIs'!E20</f>
        <v>1090000</v>
      </c>
      <c r="F15" s="4">
        <f>C15-D15</f>
        <v>-59200</v>
      </c>
      <c r="G15" s="9">
        <f>IFERROR(F15/ABS(C15),0)</f>
        <v>-5.5849056603773588E-2</v>
      </c>
      <c r="H15" s="4">
        <f>C15-E15</f>
        <v>-30000</v>
      </c>
    </row>
    <row r="16" spans="1:10" x14ac:dyDescent="0.3">
      <c r="A16" s="11" t="s">
        <v>114</v>
      </c>
      <c r="B16" s="11" t="s">
        <v>115</v>
      </c>
      <c r="C16" s="12">
        <f>SUM(C12:C15)</f>
        <v>8400000</v>
      </c>
      <c r="D16" s="12">
        <f>SUM(D12:D15)</f>
        <v>9240000</v>
      </c>
      <c r="E16" s="12">
        <f>SUM(E12:E15)</f>
        <v>8930800</v>
      </c>
      <c r="F16" s="13">
        <f>C16-D16</f>
        <v>-840000</v>
      </c>
      <c r="G16" s="14">
        <f>IFERROR(F16/ABS(C16),0)</f>
        <v>-0.1</v>
      </c>
      <c r="H16" s="13">
        <f>C16-E16</f>
        <v>-530800</v>
      </c>
      <c r="I16" s="11" t="s">
        <v>116</v>
      </c>
      <c r="J16" s="11" t="s">
        <v>117</v>
      </c>
    </row>
    <row r="18" spans="1:10" x14ac:dyDescent="0.3">
      <c r="A18" s="1" t="s">
        <v>65</v>
      </c>
      <c r="B18" s="1" t="s">
        <v>113</v>
      </c>
      <c r="C18" s="10">
        <f>'01_Inputs KPIs'!C21</f>
        <v>2560000</v>
      </c>
      <c r="D18" s="10">
        <f>'01_Inputs KPIs'!D21</f>
        <v>2940000</v>
      </c>
      <c r="E18" s="10">
        <f>'01_Inputs KPIs'!E21</f>
        <v>2887700</v>
      </c>
      <c r="F18" s="4">
        <f>C18-D18</f>
        <v>-380000</v>
      </c>
      <c r="G18" s="9">
        <f>IFERROR(F18/ABS(C18),0)</f>
        <v>-0.1484375</v>
      </c>
      <c r="H18" s="4">
        <f>C18-E18</f>
        <v>-327700</v>
      </c>
      <c r="I18" s="1" t="s">
        <v>118</v>
      </c>
      <c r="J18" s="1" t="s">
        <v>119</v>
      </c>
    </row>
    <row r="19" spans="1:10" x14ac:dyDescent="0.3">
      <c r="A19" s="1" t="s">
        <v>67</v>
      </c>
      <c r="B19" s="1" t="s">
        <v>113</v>
      </c>
      <c r="C19" s="10">
        <f>'01_Inputs KPIs'!C22</f>
        <v>1200000</v>
      </c>
      <c r="D19" s="10">
        <f>'01_Inputs KPIs'!D22</f>
        <v>1300000</v>
      </c>
      <c r="E19" s="10">
        <f>'01_Inputs KPIs'!E22</f>
        <v>1270000</v>
      </c>
      <c r="F19" s="4">
        <f>C19-D19</f>
        <v>-100000</v>
      </c>
      <c r="G19" s="9">
        <f>IFERROR(F19/ABS(C19),0)</f>
        <v>-8.3333333333333329E-2</v>
      </c>
      <c r="H19" s="4">
        <f>C19-E19</f>
        <v>-70000</v>
      </c>
    </row>
    <row r="20" spans="1:10" x14ac:dyDescent="0.3">
      <c r="A20" s="1" t="s">
        <v>68</v>
      </c>
      <c r="B20" s="1" t="s">
        <v>113</v>
      </c>
      <c r="C20" s="10">
        <f>'01_Inputs KPIs'!C23</f>
        <v>5040000</v>
      </c>
      <c r="D20" s="10">
        <f>'01_Inputs KPIs'!D23</f>
        <v>5160000</v>
      </c>
      <c r="E20" s="10">
        <f>'01_Inputs KPIs'!E23</f>
        <v>5090000</v>
      </c>
      <c r="F20" s="4">
        <f>C20-D20</f>
        <v>-120000</v>
      </c>
      <c r="G20" s="9">
        <f>IFERROR(F20/ABS(C20),0)</f>
        <v>-2.3809523809523808E-2</v>
      </c>
      <c r="H20" s="4">
        <f>C20-E20</f>
        <v>-50000</v>
      </c>
    </row>
    <row r="22" spans="1:10" x14ac:dyDescent="0.3">
      <c r="A22" s="11" t="s">
        <v>89</v>
      </c>
      <c r="B22" s="11" t="s">
        <v>115</v>
      </c>
      <c r="C22" s="12">
        <f>SUM(C16,C18:C20)</f>
        <v>17200000</v>
      </c>
      <c r="D22" s="12">
        <f>SUM(D16,D18:D20)</f>
        <v>18640000</v>
      </c>
      <c r="E22" s="12">
        <f>SUM(E16,E18:E20)</f>
        <v>18178500</v>
      </c>
      <c r="F22" s="13">
        <f>C22-D22</f>
        <v>-1440000</v>
      </c>
      <c r="G22" s="14">
        <f>IFERROR(F22/ABS(C22),0)</f>
        <v>-8.3720930232558138E-2</v>
      </c>
      <c r="H22" s="13">
        <f>C22-E22</f>
        <v>-978500</v>
      </c>
      <c r="I22" s="15"/>
      <c r="J22" s="15"/>
    </row>
    <row r="24" spans="1:10" x14ac:dyDescent="0.3">
      <c r="A24" s="11" t="s">
        <v>91</v>
      </c>
      <c r="B24" s="11" t="s">
        <v>120</v>
      </c>
      <c r="C24" s="12">
        <f>C10-C22</f>
        <v>10800000</v>
      </c>
      <c r="D24" s="12">
        <f>D10-D22</f>
        <v>9300000</v>
      </c>
      <c r="E24" s="12">
        <f>E10-E22</f>
        <v>10502020</v>
      </c>
      <c r="F24" s="13">
        <f>D24-C24</f>
        <v>-1500000</v>
      </c>
      <c r="G24" s="14">
        <f>IFERROR(F24/ABS(C24),0)</f>
        <v>-0.1388888888888889</v>
      </c>
      <c r="H24" s="13">
        <f>E24-C24</f>
        <v>-297980</v>
      </c>
      <c r="I24" s="15"/>
      <c r="J24" s="15"/>
    </row>
    <row r="25" spans="1:10" x14ac:dyDescent="0.3">
      <c r="A25" s="11" t="s">
        <v>93</v>
      </c>
      <c r="B25" s="11" t="s">
        <v>121</v>
      </c>
      <c r="C25" s="16">
        <f>C24/C10</f>
        <v>0.38571428571428573</v>
      </c>
      <c r="D25" s="16">
        <f>D24/D10</f>
        <v>0.33285612025769507</v>
      </c>
      <c r="E25" s="16">
        <f>E24/E10</f>
        <v>0.36617257985559537</v>
      </c>
      <c r="F25" s="14">
        <f>D25-C25</f>
        <v>-5.2858165456590667E-2</v>
      </c>
      <c r="G25" s="14">
        <f>IFERROR(F25/ABS(C25),0)</f>
        <v>-0.1370396882207906</v>
      </c>
      <c r="H25" s="14">
        <f>E25-C25</f>
        <v>-1.9541705858690361E-2</v>
      </c>
      <c r="I25" s="15"/>
      <c r="J25" s="15"/>
    </row>
    <row r="26" spans="1:10" x14ac:dyDescent="0.3">
      <c r="A26" s="11" t="s">
        <v>95</v>
      </c>
      <c r="B26" s="11" t="s">
        <v>120</v>
      </c>
      <c r="C26" s="12">
        <f>C24/'01_Inputs KPIs'!C9</f>
        <v>1200</v>
      </c>
      <c r="D26" s="12">
        <f>D24/'01_Inputs KPIs'!D9</f>
        <v>1033.3333333333333</v>
      </c>
      <c r="E26" s="12">
        <f>E24/'01_Inputs KPIs'!E9</f>
        <v>1166.8911111111111</v>
      </c>
      <c r="F26" s="13">
        <f>D26-C26</f>
        <v>-166.66666666666674</v>
      </c>
      <c r="G26" s="14">
        <f>IFERROR(F26/ABS(C26),0)</f>
        <v>-0.13888888888888895</v>
      </c>
      <c r="H26" s="13">
        <f>E26-C26</f>
        <v>-33.108888888888941</v>
      </c>
      <c r="I26" s="15"/>
      <c r="J26" s="15"/>
    </row>
  </sheetData>
  <mergeCells count="1">
    <mergeCell ref="A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0"/>
  <sheetViews>
    <sheetView showGridLines="0" workbookViewId="0">
      <selection activeCell="B32" sqref="B32"/>
    </sheetView>
  </sheetViews>
  <sheetFormatPr defaultColWidth="8.6640625" defaultRowHeight="14.4" x14ac:dyDescent="0.3"/>
  <cols>
    <col min="1" max="1" width="22" customWidth="1"/>
    <col min="2" max="3" width="16" customWidth="1"/>
    <col min="4" max="4" width="19" customWidth="1"/>
    <col min="5" max="5" width="14" customWidth="1"/>
    <col min="6" max="7" width="16" customWidth="1"/>
    <col min="8" max="8" width="19" customWidth="1"/>
    <col min="9" max="9" width="14" customWidth="1"/>
    <col min="10" max="12" width="18" customWidth="1"/>
  </cols>
  <sheetData>
    <row r="1" spans="1:12" ht="27.75" customHeight="1" x14ac:dyDescent="0.3">
      <c r="A1" s="30" t="s">
        <v>122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</row>
    <row r="3" spans="1:12" ht="72" x14ac:dyDescent="0.3">
      <c r="A3" s="1" t="s">
        <v>123</v>
      </c>
    </row>
    <row r="5" spans="1:12" x14ac:dyDescent="0.3">
      <c r="A5" s="3" t="s">
        <v>124</v>
      </c>
      <c r="B5" s="3" t="s">
        <v>125</v>
      </c>
      <c r="C5" s="3" t="s">
        <v>126</v>
      </c>
      <c r="D5" s="3" t="s">
        <v>127</v>
      </c>
      <c r="E5" s="3" t="s">
        <v>128</v>
      </c>
      <c r="F5" s="3" t="s">
        <v>129</v>
      </c>
      <c r="G5" s="3" t="s">
        <v>130</v>
      </c>
      <c r="H5" s="3" t="s">
        <v>131</v>
      </c>
      <c r="I5" s="3" t="s">
        <v>132</v>
      </c>
      <c r="J5" s="3" t="s">
        <v>133</v>
      </c>
      <c r="K5" s="3" t="s">
        <v>134</v>
      </c>
      <c r="L5" s="3" t="s">
        <v>135</v>
      </c>
    </row>
    <row r="6" spans="1:12" x14ac:dyDescent="0.3">
      <c r="A6" s="1" t="s">
        <v>136</v>
      </c>
      <c r="B6" s="5">
        <v>2880</v>
      </c>
      <c r="C6" s="7">
        <v>2200</v>
      </c>
      <c r="D6" s="4">
        <f>B6*C6</f>
        <v>6336000</v>
      </c>
      <c r="E6" s="9">
        <f>B6/$B$9</f>
        <v>0.4</v>
      </c>
      <c r="F6" s="5">
        <v>3300</v>
      </c>
      <c r="G6" s="7">
        <v>2150</v>
      </c>
      <c r="H6" s="4">
        <f>F6*G6</f>
        <v>7095000</v>
      </c>
      <c r="I6" s="9">
        <f>F6/$F$9</f>
        <v>0.44897959183673469</v>
      </c>
      <c r="J6" s="4">
        <f>($F$9-$B$9)*$C$9*E6</f>
        <v>150000</v>
      </c>
      <c r="K6" s="4">
        <f>($I6-$E6)*$F$9*C6</f>
        <v>791999.99999999965</v>
      </c>
      <c r="L6" s="4">
        <f>F6*(G6-C6)</f>
        <v>-165000</v>
      </c>
    </row>
    <row r="7" spans="1:12" x14ac:dyDescent="0.3">
      <c r="A7" s="1" t="s">
        <v>137</v>
      </c>
      <c r="B7" s="5">
        <v>2880</v>
      </c>
      <c r="C7" s="7">
        <v>2600</v>
      </c>
      <c r="D7" s="4">
        <f>B7*C7</f>
        <v>7488000</v>
      </c>
      <c r="E7" s="9">
        <f>B7/$B$9</f>
        <v>0.4</v>
      </c>
      <c r="F7" s="5">
        <v>2800</v>
      </c>
      <c r="G7" s="7">
        <v>2550</v>
      </c>
      <c r="H7" s="4">
        <f>F7*G7</f>
        <v>7140000</v>
      </c>
      <c r="I7" s="9">
        <f>F7/$F$9</f>
        <v>0.38095238095238093</v>
      </c>
      <c r="J7" s="4">
        <f>($F$9-$B$9)*$C$9*E7</f>
        <v>150000</v>
      </c>
      <c r="K7" s="4">
        <f>($I7-$E7)*$F$9*C7</f>
        <v>-364000.00000000081</v>
      </c>
      <c r="L7" s="4">
        <f>F7*(G7-C7)</f>
        <v>-140000</v>
      </c>
    </row>
    <row r="8" spans="1:12" x14ac:dyDescent="0.3">
      <c r="A8" s="1" t="s">
        <v>138</v>
      </c>
      <c r="B8" s="5">
        <v>1440</v>
      </c>
      <c r="C8" s="7">
        <v>2900</v>
      </c>
      <c r="D8" s="4">
        <f>B8*C8</f>
        <v>4176000</v>
      </c>
      <c r="E8" s="9">
        <f>B8/$B$9</f>
        <v>0.2</v>
      </c>
      <c r="F8" s="5">
        <v>1250</v>
      </c>
      <c r="G8" s="7">
        <v>2724</v>
      </c>
      <c r="H8" s="4">
        <f>F8*G8</f>
        <v>3405000</v>
      </c>
      <c r="I8" s="9">
        <f>F8/$F$9</f>
        <v>0.17006802721088435</v>
      </c>
      <c r="J8" s="4">
        <f>($F$9-$B$9)*$C$9*E8</f>
        <v>75000</v>
      </c>
      <c r="K8" s="4">
        <f>($I8-$E8)*$F$9*C8</f>
        <v>-638000.00000000035</v>
      </c>
      <c r="L8" s="4">
        <f>F8*(G8-C8)</f>
        <v>-220000</v>
      </c>
    </row>
    <row r="9" spans="1:12" x14ac:dyDescent="0.3">
      <c r="A9" s="17" t="s">
        <v>139</v>
      </c>
      <c r="B9" s="18">
        <f>SUM(B6:B8)</f>
        <v>7200</v>
      </c>
      <c r="C9" s="19">
        <f>D9/B9</f>
        <v>2500</v>
      </c>
      <c r="D9" s="19">
        <f>SUM(D6:D8)</f>
        <v>18000000</v>
      </c>
      <c r="E9" s="20">
        <f>SUM(E6:E8)</f>
        <v>1</v>
      </c>
      <c r="F9" s="18">
        <f>SUM(F6:F8)</f>
        <v>7350</v>
      </c>
      <c r="G9" s="19">
        <f>H9/F9</f>
        <v>2400</v>
      </c>
      <c r="H9" s="19">
        <f>SUM(H6:H8)</f>
        <v>17640000</v>
      </c>
      <c r="I9" s="20">
        <f>SUM(I6:I8)</f>
        <v>1</v>
      </c>
      <c r="J9" s="19">
        <f>SUM(J6:J8)</f>
        <v>375000</v>
      </c>
      <c r="K9" s="19">
        <f>SUM(K6:K8)</f>
        <v>-210000.00000000151</v>
      </c>
      <c r="L9" s="19">
        <f>SUM(L6:L8)</f>
        <v>-525000</v>
      </c>
    </row>
    <row r="12" spans="1:12" ht="15" customHeight="1" x14ac:dyDescent="0.3">
      <c r="A12" s="29" t="s">
        <v>140</v>
      </c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</row>
    <row r="13" spans="1:12" x14ac:dyDescent="0.3">
      <c r="A13" s="1" t="s">
        <v>141</v>
      </c>
      <c r="B13" s="4">
        <f>D9</f>
        <v>18000000</v>
      </c>
    </row>
    <row r="14" spans="1:12" x14ac:dyDescent="0.3">
      <c r="A14" s="1" t="s">
        <v>142</v>
      </c>
      <c r="B14" s="4">
        <f>J9</f>
        <v>375000</v>
      </c>
    </row>
    <row r="15" spans="1:12" x14ac:dyDescent="0.3">
      <c r="A15" s="1" t="s">
        <v>143</v>
      </c>
      <c r="B15" s="4">
        <f>K9</f>
        <v>-210000.00000000151</v>
      </c>
    </row>
    <row r="16" spans="1:12" x14ac:dyDescent="0.3">
      <c r="A16" s="1" t="s">
        <v>144</v>
      </c>
      <c r="B16" s="4">
        <f>L9</f>
        <v>-525000</v>
      </c>
    </row>
    <row r="17" spans="1:2" x14ac:dyDescent="0.3">
      <c r="A17" s="1" t="s">
        <v>145</v>
      </c>
      <c r="B17" s="4">
        <f>SUM(B13:B16)</f>
        <v>17640000</v>
      </c>
    </row>
    <row r="18" spans="1:2" x14ac:dyDescent="0.3">
      <c r="A18" s="1" t="s">
        <v>146</v>
      </c>
      <c r="B18" s="4">
        <f>H9</f>
        <v>17640000</v>
      </c>
    </row>
    <row r="19" spans="1:2" x14ac:dyDescent="0.3">
      <c r="A19" s="1" t="s">
        <v>147</v>
      </c>
      <c r="B19" s="4">
        <f>B17-B18</f>
        <v>0</v>
      </c>
    </row>
    <row r="20" spans="1:2" ht="28.8" x14ac:dyDescent="0.3">
      <c r="A20" s="1" t="s">
        <v>148</v>
      </c>
      <c r="B20" s="4">
        <f>H9-'02_P&amp;L Variance'!D6</f>
        <v>0</v>
      </c>
    </row>
  </sheetData>
  <mergeCells count="2">
    <mergeCell ref="A1:L1"/>
    <mergeCell ref="A12:L12"/>
  </mergeCells>
  <conditionalFormatting sqref="B19:B20">
    <cfRule type="cellIs" dxfId="2" priority="2" operator="notEqual">
      <formula>0</formula>
    </cfRule>
  </conditionalFormatting>
  <pageMargins left="0.7" right="0.7" top="0.75" bottom="0.75" header="0.3" footer="0.3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6"/>
  <sheetViews>
    <sheetView showGridLines="0" workbookViewId="0">
      <selection sqref="A1:J1"/>
    </sheetView>
  </sheetViews>
  <sheetFormatPr defaultColWidth="8.6640625" defaultRowHeight="14.4" x14ac:dyDescent="0.3"/>
  <cols>
    <col min="1" max="1" width="26" customWidth="1"/>
    <col min="2" max="3" width="17" customWidth="1"/>
    <col min="4" max="4" width="18" customWidth="1"/>
    <col min="5" max="6" width="17" customWidth="1"/>
    <col min="7" max="10" width="18" customWidth="1"/>
  </cols>
  <sheetData>
    <row r="1" spans="1:10" ht="27.75" customHeight="1" x14ac:dyDescent="0.3">
      <c r="A1" s="30" t="s">
        <v>149</v>
      </c>
      <c r="B1" s="30"/>
      <c r="C1" s="30"/>
      <c r="D1" s="30"/>
      <c r="E1" s="30"/>
      <c r="F1" s="30"/>
      <c r="G1" s="30"/>
      <c r="H1" s="30"/>
      <c r="I1" s="30"/>
      <c r="J1" s="30"/>
    </row>
    <row r="3" spans="1:10" ht="28.8" x14ac:dyDescent="0.3">
      <c r="A3" s="1" t="s">
        <v>150</v>
      </c>
    </row>
    <row r="5" spans="1:10" x14ac:dyDescent="0.3">
      <c r="A5" s="3" t="s">
        <v>151</v>
      </c>
      <c r="B5" s="3" t="s">
        <v>152</v>
      </c>
      <c r="C5" s="3" t="s">
        <v>153</v>
      </c>
      <c r="D5" s="3" t="s">
        <v>154</v>
      </c>
      <c r="E5" s="3" t="s">
        <v>155</v>
      </c>
      <c r="F5" s="3" t="s">
        <v>156</v>
      </c>
      <c r="G5" s="3" t="s">
        <v>157</v>
      </c>
      <c r="H5" s="3" t="s">
        <v>158</v>
      </c>
      <c r="I5" s="3" t="s">
        <v>135</v>
      </c>
      <c r="J5" s="3" t="s">
        <v>159</v>
      </c>
    </row>
    <row r="6" spans="1:10" x14ac:dyDescent="0.3">
      <c r="A6" s="1" t="s">
        <v>110</v>
      </c>
      <c r="B6" s="5">
        <v>170000</v>
      </c>
      <c r="C6" s="7">
        <v>40</v>
      </c>
      <c r="D6" s="4">
        <f>B6*C6</f>
        <v>6800000</v>
      </c>
      <c r="E6" s="5">
        <v>174000</v>
      </c>
      <c r="F6" s="7">
        <v>41</v>
      </c>
      <c r="G6" s="4">
        <f>E6*F6</f>
        <v>7134000</v>
      </c>
      <c r="H6" s="4">
        <f>-(E6-B6)*C6</f>
        <v>-160000</v>
      </c>
      <c r="I6" s="4">
        <f>-(F6-C6)*E6</f>
        <v>-174000</v>
      </c>
      <c r="J6" s="4">
        <f>H6+I6</f>
        <v>-334000</v>
      </c>
    </row>
    <row r="7" spans="1:10" x14ac:dyDescent="0.3">
      <c r="A7" s="1" t="s">
        <v>58</v>
      </c>
      <c r="B7" s="5">
        <v>2000</v>
      </c>
      <c r="C7" s="7">
        <v>20</v>
      </c>
      <c r="D7" s="4">
        <f>B7*C7</f>
        <v>40000</v>
      </c>
      <c r="E7" s="5">
        <v>3400</v>
      </c>
      <c r="F7" s="7">
        <v>22</v>
      </c>
      <c r="G7" s="4">
        <f>E7*F7</f>
        <v>74800</v>
      </c>
      <c r="H7" s="4">
        <f>-(E7-B7)*C7</f>
        <v>-28000</v>
      </c>
      <c r="I7" s="4">
        <f>-(F7-C7)*E7</f>
        <v>-6800</v>
      </c>
      <c r="J7" s="4">
        <f>H7+I7</f>
        <v>-34800</v>
      </c>
    </row>
    <row r="8" spans="1:10" x14ac:dyDescent="0.3">
      <c r="A8" s="1" t="s">
        <v>112</v>
      </c>
      <c r="B8" s="5">
        <v>10000</v>
      </c>
      <c r="C8" s="7">
        <v>50</v>
      </c>
      <c r="D8" s="4">
        <f>B8*C8</f>
        <v>500000</v>
      </c>
      <c r="E8" s="5">
        <v>15200</v>
      </c>
      <c r="F8" s="7">
        <v>60</v>
      </c>
      <c r="G8" s="4">
        <f>E8*F8</f>
        <v>912000</v>
      </c>
      <c r="H8" s="4">
        <f>-(E8-B8)*C8</f>
        <v>-260000</v>
      </c>
      <c r="I8" s="4">
        <f>-(F8-C8)*E8</f>
        <v>-152000</v>
      </c>
      <c r="J8" s="4">
        <f>H8+I8</f>
        <v>-412000</v>
      </c>
    </row>
    <row r="10" spans="1:10" x14ac:dyDescent="0.3">
      <c r="A10" s="1" t="s">
        <v>63</v>
      </c>
      <c r="D10" s="7">
        <v>1060000</v>
      </c>
      <c r="G10" s="7">
        <v>1119200</v>
      </c>
      <c r="J10" s="4">
        <f>D10-G10</f>
        <v>-59200</v>
      </c>
    </row>
    <row r="12" spans="1:10" x14ac:dyDescent="0.3">
      <c r="A12" s="21" t="s">
        <v>114</v>
      </c>
      <c r="D12" s="22">
        <f>SUM(D6:D8,D10)</f>
        <v>8400000</v>
      </c>
      <c r="G12" s="22">
        <f>SUM(G6:G8,G10)</f>
        <v>9240000</v>
      </c>
      <c r="J12" s="22">
        <f>SUM(J6:J8,J10)</f>
        <v>-840000</v>
      </c>
    </row>
    <row r="14" spans="1:10" x14ac:dyDescent="0.3">
      <c r="A14" s="21" t="s">
        <v>160</v>
      </c>
      <c r="D14" s="22">
        <f>'02_P&amp;L Variance'!F16</f>
        <v>-840000</v>
      </c>
      <c r="G14" s="23"/>
      <c r="J14" s="23"/>
    </row>
    <row r="15" spans="1:10" x14ac:dyDescent="0.3">
      <c r="A15" s="21" t="s">
        <v>161</v>
      </c>
      <c r="D15" s="22">
        <f>J12</f>
        <v>-840000</v>
      </c>
      <c r="G15" s="23"/>
      <c r="J15" s="23"/>
    </row>
    <row r="16" spans="1:10" x14ac:dyDescent="0.3">
      <c r="A16" s="21" t="s">
        <v>147</v>
      </c>
      <c r="D16" s="22">
        <f>D15-D14</f>
        <v>0</v>
      </c>
      <c r="G16" s="23"/>
      <c r="J16" s="23"/>
    </row>
  </sheetData>
  <mergeCells count="1">
    <mergeCell ref="A1:J1"/>
  </mergeCells>
  <conditionalFormatting sqref="D16">
    <cfRule type="cellIs" dxfId="1" priority="2" operator="notEqual">
      <formula>0</formula>
    </cfRule>
  </conditionalFormatting>
  <pageMargins left="0.7" right="0.7" top="0.75" bottom="0.75" header="0.3" footer="0.3"/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44"/>
  <sheetViews>
    <sheetView showGridLines="0" workbookViewId="0">
      <selection sqref="A1:H1"/>
    </sheetView>
  </sheetViews>
  <sheetFormatPr defaultColWidth="8.6640625" defaultRowHeight="14.4" x14ac:dyDescent="0.3"/>
  <cols>
    <col min="1" max="1" width="31" customWidth="1"/>
    <col min="2" max="2" width="17" customWidth="1"/>
    <col min="3" max="6" width="19" customWidth="1"/>
    <col min="7" max="7" width="38" customWidth="1"/>
    <col min="8" max="8" width="45" customWidth="1"/>
  </cols>
  <sheetData>
    <row r="1" spans="1:8" ht="27.75" customHeight="1" x14ac:dyDescent="0.3">
      <c r="A1" s="30" t="s">
        <v>162</v>
      </c>
      <c r="B1" s="30"/>
      <c r="C1" s="30"/>
      <c r="D1" s="30"/>
      <c r="E1" s="30"/>
      <c r="F1" s="30"/>
      <c r="G1" s="30"/>
      <c r="H1" s="30"/>
    </row>
    <row r="5" spans="1:8" x14ac:dyDescent="0.3">
      <c r="A5" s="3" t="s">
        <v>163</v>
      </c>
      <c r="B5" s="3" t="s">
        <v>24</v>
      </c>
      <c r="C5" s="3" t="s">
        <v>164</v>
      </c>
      <c r="D5" s="3" t="s">
        <v>165</v>
      </c>
      <c r="E5" s="3" t="s">
        <v>166</v>
      </c>
      <c r="F5" s="3" t="s">
        <v>167</v>
      </c>
      <c r="G5" s="3" t="s">
        <v>168</v>
      </c>
      <c r="H5" s="3" t="s">
        <v>169</v>
      </c>
    </row>
    <row r="6" spans="1:8" x14ac:dyDescent="0.3">
      <c r="A6" s="1" t="s">
        <v>39</v>
      </c>
      <c r="B6" s="1" t="s">
        <v>40</v>
      </c>
      <c r="C6" s="5">
        <v>9000</v>
      </c>
      <c r="D6" s="5">
        <v>9000</v>
      </c>
      <c r="E6" s="5">
        <v>9000</v>
      </c>
      <c r="F6" s="5">
        <v>9000</v>
      </c>
      <c r="G6" s="1" t="s">
        <v>170</v>
      </c>
    </row>
    <row r="7" spans="1:8" x14ac:dyDescent="0.3">
      <c r="A7" s="1" t="s">
        <v>76</v>
      </c>
      <c r="B7" s="1" t="s">
        <v>77</v>
      </c>
      <c r="C7" s="24">
        <v>0.81666666669999999</v>
      </c>
      <c r="D7" s="24">
        <v>0.81499999999999995</v>
      </c>
      <c r="E7" s="24">
        <v>0.82</v>
      </c>
      <c r="F7" s="24">
        <v>0.82499999999999996</v>
      </c>
      <c r="G7" s="1" t="s">
        <v>170</v>
      </c>
    </row>
    <row r="8" spans="1:8" x14ac:dyDescent="0.3">
      <c r="A8" s="1" t="s">
        <v>79</v>
      </c>
      <c r="B8" s="1" t="s">
        <v>45</v>
      </c>
      <c r="C8" s="7">
        <v>2400</v>
      </c>
      <c r="D8" s="7">
        <v>2400</v>
      </c>
      <c r="E8" s="7">
        <v>2430</v>
      </c>
      <c r="F8" s="7">
        <v>2470</v>
      </c>
      <c r="G8" s="1" t="s">
        <v>170</v>
      </c>
    </row>
    <row r="9" spans="1:8" x14ac:dyDescent="0.3">
      <c r="A9" s="1" t="s">
        <v>46</v>
      </c>
      <c r="B9" s="1" t="s">
        <v>45</v>
      </c>
      <c r="C9" s="7">
        <v>8400000</v>
      </c>
      <c r="D9" s="7">
        <v>8450000</v>
      </c>
      <c r="E9" s="7">
        <v>8600000</v>
      </c>
      <c r="F9" s="7">
        <v>8750000</v>
      </c>
      <c r="G9" s="1" t="s">
        <v>170</v>
      </c>
    </row>
    <row r="10" spans="1:8" x14ac:dyDescent="0.3">
      <c r="A10" s="1" t="s">
        <v>48</v>
      </c>
      <c r="B10" s="1" t="s">
        <v>45</v>
      </c>
      <c r="C10" s="7">
        <v>1900000</v>
      </c>
      <c r="D10" s="7">
        <v>1900000</v>
      </c>
      <c r="E10" s="7">
        <v>1950000</v>
      </c>
      <c r="F10" s="7">
        <v>2000000</v>
      </c>
      <c r="G10" s="1" t="s">
        <v>170</v>
      </c>
    </row>
    <row r="11" spans="1:8" x14ac:dyDescent="0.3">
      <c r="A11" s="1" t="s">
        <v>50</v>
      </c>
      <c r="B11" s="1" t="s">
        <v>51</v>
      </c>
      <c r="C11" s="5">
        <v>174000</v>
      </c>
      <c r="D11" s="5">
        <v>174000</v>
      </c>
      <c r="E11" s="5">
        <v>171000</v>
      </c>
      <c r="F11" s="5">
        <v>168000</v>
      </c>
      <c r="G11" s="1" t="s">
        <v>170</v>
      </c>
    </row>
    <row r="12" spans="1:8" x14ac:dyDescent="0.3">
      <c r="A12" s="1" t="s">
        <v>53</v>
      </c>
      <c r="B12" s="1" t="s">
        <v>54</v>
      </c>
      <c r="C12" s="7">
        <v>41</v>
      </c>
      <c r="D12" s="7">
        <v>41</v>
      </c>
      <c r="E12" s="7">
        <v>41</v>
      </c>
      <c r="F12" s="7">
        <v>41</v>
      </c>
      <c r="G12" s="1" t="s">
        <v>170</v>
      </c>
    </row>
    <row r="13" spans="1:8" x14ac:dyDescent="0.3">
      <c r="A13" s="1" t="s">
        <v>56</v>
      </c>
      <c r="B13" s="1" t="s">
        <v>51</v>
      </c>
      <c r="C13" s="5">
        <v>3400</v>
      </c>
      <c r="D13" s="5">
        <v>3300</v>
      </c>
      <c r="E13" s="5">
        <v>2890</v>
      </c>
      <c r="F13" s="5">
        <v>2380</v>
      </c>
      <c r="G13" s="1" t="s">
        <v>170</v>
      </c>
    </row>
    <row r="14" spans="1:8" x14ac:dyDescent="0.3">
      <c r="A14" s="1" t="s">
        <v>58</v>
      </c>
      <c r="B14" s="1" t="s">
        <v>54</v>
      </c>
      <c r="C14" s="7">
        <v>22</v>
      </c>
      <c r="D14" s="7">
        <v>22</v>
      </c>
      <c r="E14" s="7">
        <v>22</v>
      </c>
      <c r="F14" s="7">
        <v>22</v>
      </c>
      <c r="G14" s="1" t="s">
        <v>170</v>
      </c>
    </row>
    <row r="15" spans="1:8" x14ac:dyDescent="0.3">
      <c r="A15" s="1" t="s">
        <v>60</v>
      </c>
      <c r="B15" s="1" t="s">
        <v>51</v>
      </c>
      <c r="C15" s="5">
        <v>15200</v>
      </c>
      <c r="D15" s="5">
        <v>15000</v>
      </c>
      <c r="E15" s="5">
        <v>12160</v>
      </c>
      <c r="F15" s="5">
        <v>9880</v>
      </c>
      <c r="G15" s="1" t="s">
        <v>170</v>
      </c>
    </row>
    <row r="16" spans="1:8" x14ac:dyDescent="0.3">
      <c r="A16" s="1" t="s">
        <v>61</v>
      </c>
      <c r="B16" s="1" t="s">
        <v>54</v>
      </c>
      <c r="C16" s="7">
        <v>60</v>
      </c>
      <c r="D16" s="7">
        <v>60</v>
      </c>
      <c r="E16" s="7">
        <v>58</v>
      </c>
      <c r="F16" s="7">
        <v>56</v>
      </c>
      <c r="G16" s="1" t="s">
        <v>170</v>
      </c>
    </row>
    <row r="17" spans="1:8" x14ac:dyDescent="0.3">
      <c r="A17" s="1" t="s">
        <v>63</v>
      </c>
      <c r="B17" s="1" t="s">
        <v>45</v>
      </c>
      <c r="C17" s="7">
        <v>1119200</v>
      </c>
      <c r="D17" s="7">
        <v>1119200</v>
      </c>
      <c r="E17" s="7">
        <v>1090000</v>
      </c>
      <c r="F17" s="7">
        <v>1060000</v>
      </c>
      <c r="G17" s="1" t="s">
        <v>170</v>
      </c>
    </row>
    <row r="18" spans="1:8" x14ac:dyDescent="0.3">
      <c r="A18" s="1" t="s">
        <v>83</v>
      </c>
      <c r="B18" s="1" t="s">
        <v>77</v>
      </c>
      <c r="C18" s="24">
        <v>0.35</v>
      </c>
      <c r="D18" s="24">
        <v>0.35</v>
      </c>
      <c r="E18" s="24">
        <v>0.33500000000000002</v>
      </c>
      <c r="F18" s="24">
        <v>0.32500000000000001</v>
      </c>
      <c r="G18" s="1" t="s">
        <v>170</v>
      </c>
    </row>
    <row r="19" spans="1:8" x14ac:dyDescent="0.3">
      <c r="A19" s="1" t="s">
        <v>67</v>
      </c>
      <c r="B19" s="1" t="s">
        <v>45</v>
      </c>
      <c r="C19" s="7">
        <v>1300000</v>
      </c>
      <c r="D19" s="7">
        <v>1310000</v>
      </c>
      <c r="E19" s="7">
        <v>1270000</v>
      </c>
      <c r="F19" s="7">
        <v>1240000</v>
      </c>
      <c r="G19" s="1" t="s">
        <v>170</v>
      </c>
    </row>
    <row r="20" spans="1:8" x14ac:dyDescent="0.3">
      <c r="A20" s="1" t="s">
        <v>68</v>
      </c>
      <c r="B20" s="1" t="s">
        <v>45</v>
      </c>
      <c r="C20" s="7">
        <v>5160000</v>
      </c>
      <c r="D20" s="7">
        <v>5180000</v>
      </c>
      <c r="E20" s="7">
        <v>5090000</v>
      </c>
      <c r="F20" s="7">
        <v>5010000</v>
      </c>
      <c r="G20" s="1" t="s">
        <v>170</v>
      </c>
    </row>
    <row r="21" spans="1:8" x14ac:dyDescent="0.3">
      <c r="A21" s="1" t="s">
        <v>171</v>
      </c>
      <c r="B21" s="1" t="s">
        <v>45</v>
      </c>
      <c r="C21" s="7">
        <v>0</v>
      </c>
      <c r="D21" s="7">
        <v>0</v>
      </c>
      <c r="E21" s="7">
        <v>800000</v>
      </c>
      <c r="F21" s="7">
        <v>1600000</v>
      </c>
      <c r="G21" s="1" t="s">
        <v>170</v>
      </c>
    </row>
    <row r="22" spans="1:8" x14ac:dyDescent="0.3">
      <c r="A22" s="1" t="s">
        <v>70</v>
      </c>
      <c r="B22" s="1" t="s">
        <v>71</v>
      </c>
      <c r="C22" s="5">
        <v>88</v>
      </c>
      <c r="D22" s="5">
        <v>88</v>
      </c>
      <c r="E22" s="5">
        <v>89</v>
      </c>
      <c r="F22" s="5">
        <v>87.5</v>
      </c>
      <c r="G22" s="1" t="s">
        <v>170</v>
      </c>
    </row>
    <row r="23" spans="1:8" x14ac:dyDescent="0.3">
      <c r="A23" s="1" t="s">
        <v>172</v>
      </c>
      <c r="B23" s="1" t="s">
        <v>77</v>
      </c>
      <c r="C23" s="24">
        <v>1</v>
      </c>
      <c r="D23" s="24">
        <v>0.9</v>
      </c>
      <c r="E23" s="24">
        <v>0.75</v>
      </c>
      <c r="F23" s="24">
        <v>0.6</v>
      </c>
      <c r="G23" s="1" t="s">
        <v>170</v>
      </c>
    </row>
    <row r="24" spans="1:8" x14ac:dyDescent="0.3">
      <c r="A24" s="1" t="s">
        <v>173</v>
      </c>
      <c r="B24" s="1" t="s">
        <v>71</v>
      </c>
      <c r="C24" s="5">
        <v>88</v>
      </c>
      <c r="D24" s="5">
        <v>88</v>
      </c>
      <c r="E24" s="5">
        <v>88</v>
      </c>
      <c r="F24" s="5">
        <v>88</v>
      </c>
      <c r="G24" s="1" t="s">
        <v>170</v>
      </c>
    </row>
    <row r="27" spans="1:8" ht="15" customHeight="1" x14ac:dyDescent="0.3">
      <c r="A27" s="29" t="s">
        <v>174</v>
      </c>
      <c r="B27" s="29"/>
      <c r="C27" s="29"/>
      <c r="D27" s="29"/>
      <c r="E27" s="29"/>
      <c r="F27" s="29"/>
      <c r="G27" s="29"/>
      <c r="H27" s="29"/>
    </row>
    <row r="28" spans="1:8" x14ac:dyDescent="0.3">
      <c r="A28" s="1" t="s">
        <v>42</v>
      </c>
      <c r="C28" s="6">
        <f>C6*C7</f>
        <v>7350.0000002999996</v>
      </c>
      <c r="D28" s="6">
        <f>D6*D7</f>
        <v>7334.9999999999991</v>
      </c>
      <c r="E28" s="6">
        <f>E6*E7</f>
        <v>7380</v>
      </c>
      <c r="F28" s="6">
        <f>F6*F7</f>
        <v>7425</v>
      </c>
    </row>
    <row r="29" spans="1:8" x14ac:dyDescent="0.3">
      <c r="A29" s="1" t="s">
        <v>44</v>
      </c>
      <c r="C29" s="4">
        <f>C28*C8</f>
        <v>17640000.000719998</v>
      </c>
      <c r="D29" s="4">
        <f>D28*D8</f>
        <v>17603999.999999996</v>
      </c>
      <c r="E29" s="4">
        <f>E28*E8</f>
        <v>17933400</v>
      </c>
      <c r="F29" s="4">
        <f>F28*F8</f>
        <v>18339750</v>
      </c>
    </row>
    <row r="30" spans="1:8" x14ac:dyDescent="0.3">
      <c r="A30" s="1" t="s">
        <v>87</v>
      </c>
      <c r="C30" s="4">
        <f>SUM(C29,C9,C10)</f>
        <v>27940000.000719998</v>
      </c>
      <c r="D30" s="4">
        <f>SUM(D29,D9,D10)</f>
        <v>27953999.999999996</v>
      </c>
      <c r="E30" s="4">
        <f>SUM(E29,E9,E10)</f>
        <v>28483400</v>
      </c>
      <c r="F30" s="4">
        <f>SUM(F29,F9,F10)</f>
        <v>29089750</v>
      </c>
    </row>
    <row r="31" spans="1:8" x14ac:dyDescent="0.3">
      <c r="A31" s="1" t="s">
        <v>110</v>
      </c>
      <c r="C31" s="4">
        <f>C11*C12</f>
        <v>7134000</v>
      </c>
      <c r="D31" s="4">
        <f>D11*D12</f>
        <v>7134000</v>
      </c>
      <c r="E31" s="4">
        <f>E11*E12</f>
        <v>7011000</v>
      </c>
      <c r="F31" s="4">
        <f>F11*F12</f>
        <v>6888000</v>
      </c>
    </row>
    <row r="32" spans="1:8" x14ac:dyDescent="0.3">
      <c r="A32" s="1" t="s">
        <v>58</v>
      </c>
      <c r="C32" s="4">
        <f>C13*C14</f>
        <v>74800</v>
      </c>
      <c r="D32" s="4">
        <f>D13*D14</f>
        <v>72600</v>
      </c>
      <c r="E32" s="4">
        <f>E13*E14</f>
        <v>63580</v>
      </c>
      <c r="F32" s="4">
        <f>F13*F14</f>
        <v>52360</v>
      </c>
    </row>
    <row r="33" spans="1:6" x14ac:dyDescent="0.3">
      <c r="A33" s="1" t="s">
        <v>112</v>
      </c>
      <c r="C33" s="4">
        <f>C15*C16</f>
        <v>912000</v>
      </c>
      <c r="D33" s="4">
        <f>D15*D16</f>
        <v>900000</v>
      </c>
      <c r="E33" s="4">
        <f>E15*E16</f>
        <v>705280</v>
      </c>
      <c r="F33" s="4">
        <f>F15*F16</f>
        <v>553280</v>
      </c>
    </row>
    <row r="34" spans="1:6" x14ac:dyDescent="0.3">
      <c r="A34" s="1" t="s">
        <v>114</v>
      </c>
      <c r="C34" s="4">
        <f>SUM(C31:C33,C17)</f>
        <v>9240000</v>
      </c>
      <c r="D34" s="4">
        <f>SUM(D31:D33,D17)</f>
        <v>9225800</v>
      </c>
      <c r="E34" s="4">
        <f>SUM(E31:E33,E17)</f>
        <v>8869860</v>
      </c>
      <c r="F34" s="4">
        <f>SUM(F31:F33,F17)</f>
        <v>8553640</v>
      </c>
    </row>
    <row r="35" spans="1:6" x14ac:dyDescent="0.3">
      <c r="A35" s="1" t="s">
        <v>65</v>
      </c>
      <c r="C35" s="4">
        <f>C9*C18</f>
        <v>2940000</v>
      </c>
      <c r="D35" s="4">
        <f>D9*D18</f>
        <v>2957500</v>
      </c>
      <c r="E35" s="4">
        <f>E9*E18</f>
        <v>2881000</v>
      </c>
      <c r="F35" s="4">
        <f>F9*F18</f>
        <v>2843750</v>
      </c>
    </row>
    <row r="36" spans="1:6" x14ac:dyDescent="0.3">
      <c r="A36" s="1" t="s">
        <v>89</v>
      </c>
      <c r="C36" s="4">
        <f>SUM(C34,C35,C19,C20)</f>
        <v>18640000</v>
      </c>
      <c r="D36" s="4">
        <f>SUM(D34,D35,D19,D20)</f>
        <v>18673300</v>
      </c>
      <c r="E36" s="4">
        <f>SUM(E34,E35,E19,E20)</f>
        <v>18110860</v>
      </c>
      <c r="F36" s="4">
        <f>SUM(F34,F35,F19,F20)</f>
        <v>17647390</v>
      </c>
    </row>
    <row r="37" spans="1:6" x14ac:dyDescent="0.3">
      <c r="A37" s="1" t="s">
        <v>91</v>
      </c>
      <c r="C37" s="4">
        <f>C30-C36</f>
        <v>9300000.000719998</v>
      </c>
      <c r="D37" s="4">
        <f>D30-D36</f>
        <v>9280699.9999999963</v>
      </c>
      <c r="E37" s="4">
        <f>E30-E36</f>
        <v>10372540</v>
      </c>
      <c r="F37" s="4">
        <f>F30-F36</f>
        <v>11442360</v>
      </c>
    </row>
    <row r="38" spans="1:6" x14ac:dyDescent="0.3">
      <c r="A38" s="1" t="s">
        <v>93</v>
      </c>
      <c r="C38" s="9">
        <f>C37/C30</f>
        <v>0.33285612027488698</v>
      </c>
      <c r="D38" s="9">
        <f>D37/D30</f>
        <v>0.33199899835443936</v>
      </c>
      <c r="E38" s="9">
        <f>E37/E30</f>
        <v>0.36416087967026406</v>
      </c>
      <c r="F38" s="9">
        <f>F37/F30</f>
        <v>0.39334679741145934</v>
      </c>
    </row>
    <row r="39" spans="1:6" x14ac:dyDescent="0.3">
      <c r="A39" s="1" t="s">
        <v>95</v>
      </c>
      <c r="C39" s="4">
        <f>C37/C6</f>
        <v>1033.3333334133331</v>
      </c>
      <c r="D39" s="4">
        <f>D37/D6</f>
        <v>1031.1888888888884</v>
      </c>
      <c r="E39" s="4">
        <f>E37/E6</f>
        <v>1152.5044444444445</v>
      </c>
      <c r="F39" s="4">
        <f>F37/F6</f>
        <v>1271.3733333333332</v>
      </c>
    </row>
    <row r="40" spans="1:6" x14ac:dyDescent="0.3">
      <c r="A40" s="1" t="s">
        <v>175</v>
      </c>
      <c r="C40" s="4">
        <f>0</f>
        <v>0</v>
      </c>
      <c r="D40" s="4">
        <f>0</f>
        <v>0</v>
      </c>
      <c r="E40" s="4">
        <f>E37-$D$37</f>
        <v>1091840.0000000037</v>
      </c>
      <c r="F40" s="4">
        <f>F37-$D$37</f>
        <v>2161660.0000000037</v>
      </c>
    </row>
    <row r="41" spans="1:6" x14ac:dyDescent="0.3">
      <c r="A41" s="1" t="s">
        <v>176</v>
      </c>
      <c r="C41" s="4">
        <f>0</f>
        <v>0</v>
      </c>
      <c r="D41" s="4">
        <f>0</f>
        <v>0</v>
      </c>
      <c r="E41" s="4">
        <f>E40*12</f>
        <v>13102080.000000045</v>
      </c>
      <c r="F41" s="4">
        <f>F40*12</f>
        <v>25939920.000000045</v>
      </c>
    </row>
    <row r="42" spans="1:6" x14ac:dyDescent="0.3">
      <c r="A42" s="1" t="s">
        <v>177</v>
      </c>
      <c r="C42" s="4">
        <f>0</f>
        <v>0</v>
      </c>
      <c r="D42" s="4">
        <f>0</f>
        <v>0</v>
      </c>
      <c r="E42" s="4">
        <f>E41-E21</f>
        <v>12302080.000000045</v>
      </c>
      <c r="F42" s="4">
        <f>F41-F21</f>
        <v>24339920.000000045</v>
      </c>
    </row>
    <row r="43" spans="1:6" x14ac:dyDescent="0.3">
      <c r="A43" s="1" t="s">
        <v>178</v>
      </c>
      <c r="C43" s="4">
        <f>0</f>
        <v>0</v>
      </c>
      <c r="D43" s="4">
        <f>0</f>
        <v>0</v>
      </c>
      <c r="E43" s="4">
        <f>E42*E23</f>
        <v>9226560.0000000335</v>
      </c>
      <c r="F43" s="4">
        <f>F42*F23</f>
        <v>14603952.000000026</v>
      </c>
    </row>
    <row r="44" spans="1:6" x14ac:dyDescent="0.3">
      <c r="A44" s="1" t="s">
        <v>179</v>
      </c>
      <c r="C44" s="1" t="str">
        <f>IF(C22&gt;=C24,"PASS","FAIL")</f>
        <v>PASS</v>
      </c>
      <c r="D44" s="1" t="str">
        <f>IF(D22&gt;=D24,"PASS","FAIL")</f>
        <v>PASS</v>
      </c>
      <c r="E44" s="1" t="str">
        <f>IF(E22&gt;=E24,"PASS","FAIL")</f>
        <v>PASS</v>
      </c>
      <c r="F44" s="1" t="str">
        <f>IF(F22&gt;=F24,"PASS","FAIL")</f>
        <v>FAIL</v>
      </c>
    </row>
  </sheetData>
  <mergeCells count="2">
    <mergeCell ref="A1:H1"/>
    <mergeCell ref="A27:H27"/>
  </mergeCells>
  <conditionalFormatting sqref="C44:F44">
    <cfRule type="cellIs" dxfId="0" priority="2" operator="equal">
      <formula>"FAIL"</formula>
    </cfRule>
  </conditionalFormatting>
  <pageMargins left="0.7" right="0.7" top="0.75" bottom="0.75" header="0.3" footer="0.3"/>
  <drawing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46"/>
  <sheetViews>
    <sheetView showGridLines="0" workbookViewId="0">
      <selection sqref="A1:K1"/>
    </sheetView>
  </sheetViews>
  <sheetFormatPr defaultColWidth="8.6640625" defaultRowHeight="14.4" x14ac:dyDescent="0.3"/>
  <cols>
    <col min="1" max="1" width="34" customWidth="1"/>
    <col min="2" max="4" width="18" customWidth="1"/>
    <col min="5" max="5" width="44" customWidth="1"/>
    <col min="6" max="6" width="35" customWidth="1"/>
    <col min="7" max="7" width="42" customWidth="1"/>
    <col min="8" max="8" width="20" customWidth="1"/>
    <col min="9" max="9" width="15" customWidth="1"/>
    <col min="10" max="11" width="18" customWidth="1"/>
  </cols>
  <sheetData>
    <row r="1" spans="1:11" ht="27.75" customHeight="1" x14ac:dyDescent="0.3">
      <c r="A1" s="30" t="s">
        <v>180</v>
      </c>
      <c r="B1" s="30"/>
      <c r="C1" s="30"/>
      <c r="D1" s="30"/>
      <c r="E1" s="30"/>
      <c r="F1" s="30"/>
      <c r="G1" s="30"/>
      <c r="H1" s="30"/>
      <c r="I1" s="30"/>
      <c r="J1" s="30"/>
      <c r="K1" s="30"/>
    </row>
    <row r="5" spans="1:11" x14ac:dyDescent="0.3">
      <c r="A5" s="3" t="s">
        <v>23</v>
      </c>
      <c r="B5" s="3" t="s">
        <v>165</v>
      </c>
      <c r="C5" s="3" t="s">
        <v>166</v>
      </c>
      <c r="D5" s="3" t="s">
        <v>167</v>
      </c>
      <c r="E5" s="3" t="s">
        <v>181</v>
      </c>
      <c r="F5" s="3" t="s">
        <v>182</v>
      </c>
      <c r="G5" s="3" t="s">
        <v>183</v>
      </c>
      <c r="H5" s="3" t="s">
        <v>184</v>
      </c>
      <c r="I5" s="3" t="s">
        <v>16</v>
      </c>
      <c r="J5" s="3" t="s">
        <v>185</v>
      </c>
      <c r="K5" s="3" t="s">
        <v>186</v>
      </c>
    </row>
    <row r="6" spans="1:11" x14ac:dyDescent="0.3">
      <c r="A6" s="1" t="s">
        <v>187</v>
      </c>
      <c r="B6" s="4">
        <f>'05_Scenarios'!D41</f>
        <v>0</v>
      </c>
      <c r="C6" s="4">
        <f>'05_Scenarios'!E41</f>
        <v>13102080.000000045</v>
      </c>
      <c r="D6" s="4">
        <f>'05_Scenarios'!F41</f>
        <v>25939920.000000045</v>
      </c>
      <c r="E6" s="1" t="s">
        <v>188</v>
      </c>
    </row>
    <row r="7" spans="1:11" x14ac:dyDescent="0.3">
      <c r="A7" s="1" t="s">
        <v>171</v>
      </c>
      <c r="B7" s="4">
        <f>'05_Scenarios'!D21</f>
        <v>0</v>
      </c>
      <c r="C7" s="4">
        <f>'05_Scenarios'!E21</f>
        <v>800000</v>
      </c>
      <c r="D7" s="4">
        <f>'05_Scenarios'!F21</f>
        <v>1600000</v>
      </c>
      <c r="E7" s="1" t="s">
        <v>189</v>
      </c>
    </row>
    <row r="8" spans="1:11" x14ac:dyDescent="0.3">
      <c r="A8" s="1" t="s">
        <v>177</v>
      </c>
      <c r="B8" s="4">
        <f>'05_Scenarios'!D42</f>
        <v>0</v>
      </c>
      <c r="C8" s="4">
        <f>'05_Scenarios'!E42</f>
        <v>12302080.000000045</v>
      </c>
      <c r="D8" s="4">
        <f>'05_Scenarios'!F42</f>
        <v>24339920.000000045</v>
      </c>
      <c r="E8" s="1" t="s">
        <v>190</v>
      </c>
    </row>
    <row r="9" spans="1:11" x14ac:dyDescent="0.3">
      <c r="A9" s="1" t="s">
        <v>191</v>
      </c>
      <c r="B9" s="25">
        <f>IFERROR(B8/B7,0)</f>
        <v>0</v>
      </c>
      <c r="C9" s="25">
        <f>IFERROR(C8/C7,0)</f>
        <v>15.377600000000056</v>
      </c>
      <c r="D9" s="25">
        <f>IFERROR(D8/D7,0)</f>
        <v>15.212450000000027</v>
      </c>
      <c r="E9" s="1" t="s">
        <v>192</v>
      </c>
    </row>
    <row r="10" spans="1:11" x14ac:dyDescent="0.3">
      <c r="A10" s="1" t="s">
        <v>193</v>
      </c>
      <c r="B10" s="4">
        <f>B8/12</f>
        <v>0</v>
      </c>
      <c r="C10" s="4">
        <f>C8/12</f>
        <v>1025173.3333333371</v>
      </c>
      <c r="D10" s="4">
        <f>D8/12</f>
        <v>2028326.6666666705</v>
      </c>
      <c r="E10" s="1" t="s">
        <v>194</v>
      </c>
    </row>
    <row r="11" spans="1:11" x14ac:dyDescent="0.3">
      <c r="A11" s="1" t="s">
        <v>195</v>
      </c>
      <c r="B11" s="26">
        <f>IFERROR(B7/B10,0)</f>
        <v>0</v>
      </c>
      <c r="C11" s="26">
        <f>IFERROR(C7/C10,0)</f>
        <v>0.78035584226406951</v>
      </c>
      <c r="D11" s="26">
        <f>IFERROR(D7/D10,0)</f>
        <v>0.78882757215307053</v>
      </c>
      <c r="E11" s="1" t="s">
        <v>196</v>
      </c>
    </row>
    <row r="12" spans="1:11" x14ac:dyDescent="0.3">
      <c r="A12" s="1" t="s">
        <v>197</v>
      </c>
      <c r="B12" s="24">
        <v>0.08</v>
      </c>
      <c r="C12" s="24">
        <v>0.08</v>
      </c>
      <c r="D12" s="24">
        <v>0.08</v>
      </c>
      <c r="E12" s="1" t="s">
        <v>198</v>
      </c>
    </row>
    <row r="13" spans="1:11" x14ac:dyDescent="0.3">
      <c r="A13" s="1" t="s">
        <v>199</v>
      </c>
      <c r="B13" s="24">
        <v>0.75</v>
      </c>
      <c r="C13" s="24">
        <v>0.75</v>
      </c>
      <c r="D13" s="24">
        <v>0.75</v>
      </c>
      <c r="E13" s="1" t="s">
        <v>200</v>
      </c>
    </row>
    <row r="14" spans="1:11" x14ac:dyDescent="0.3">
      <c r="A14" s="1" t="s">
        <v>201</v>
      </c>
      <c r="B14" s="24">
        <v>1</v>
      </c>
      <c r="C14" s="24">
        <v>1</v>
      </c>
      <c r="D14" s="24">
        <v>1</v>
      </c>
      <c r="E14" s="1" t="s">
        <v>202</v>
      </c>
    </row>
    <row r="15" spans="1:11" x14ac:dyDescent="0.3">
      <c r="A15" s="1" t="s">
        <v>203</v>
      </c>
      <c r="B15" s="24">
        <v>0.9</v>
      </c>
      <c r="C15" s="24">
        <v>0.9</v>
      </c>
      <c r="D15" s="24">
        <v>0.9</v>
      </c>
      <c r="E15" s="1" t="s">
        <v>204</v>
      </c>
    </row>
    <row r="16" spans="1:11" x14ac:dyDescent="0.3">
      <c r="A16" s="1" t="s">
        <v>205</v>
      </c>
      <c r="B16" s="4">
        <f>B8*B13</f>
        <v>0</v>
      </c>
      <c r="C16" s="4">
        <f>C8*C13</f>
        <v>9226560.0000000335</v>
      </c>
      <c r="D16" s="4">
        <f>D8*D13</f>
        <v>18254940.000000034</v>
      </c>
      <c r="E16" s="1" t="s">
        <v>206</v>
      </c>
    </row>
    <row r="17" spans="1:12" x14ac:dyDescent="0.3">
      <c r="A17" s="1" t="s">
        <v>207</v>
      </c>
      <c r="B17" s="4">
        <f>B8*B14</f>
        <v>0</v>
      </c>
      <c r="C17" s="4">
        <f>C8*C14</f>
        <v>12302080.000000045</v>
      </c>
      <c r="D17" s="4">
        <f>D8*D14</f>
        <v>24339920.000000045</v>
      </c>
      <c r="E17" s="1" t="s">
        <v>208</v>
      </c>
    </row>
    <row r="18" spans="1:12" x14ac:dyDescent="0.3">
      <c r="A18" s="1" t="s">
        <v>209</v>
      </c>
      <c r="B18" s="4">
        <f>B8*B15</f>
        <v>0</v>
      </c>
      <c r="C18" s="4">
        <f>C8*C15</f>
        <v>11071872.000000041</v>
      </c>
      <c r="D18" s="4">
        <f>D8*D15</f>
        <v>21905928.000000041</v>
      </c>
      <c r="E18" s="1" t="s">
        <v>210</v>
      </c>
    </row>
    <row r="19" spans="1:12" x14ac:dyDescent="0.3">
      <c r="A19" s="1" t="s">
        <v>211</v>
      </c>
      <c r="B19" s="4">
        <f>NPV(B12,B16:B18)-B7</f>
        <v>0</v>
      </c>
      <c r="C19" s="4">
        <f>NPV(C12,C16:C18)-C7</f>
        <v>27079370.827617839</v>
      </c>
      <c r="D19" s="4">
        <f>NPV(D12,D16:D18)-D7</f>
        <v>53559912.437128581</v>
      </c>
      <c r="E19" s="1" t="s">
        <v>212</v>
      </c>
    </row>
    <row r="20" spans="1:12" x14ac:dyDescent="0.3">
      <c r="A20" s="1" t="s">
        <v>213</v>
      </c>
      <c r="B20" s="4">
        <f>'05_Scenarios'!D43</f>
        <v>0</v>
      </c>
      <c r="C20" s="4">
        <f>'05_Scenarios'!E43</f>
        <v>9226560.0000000335</v>
      </c>
      <c r="D20" s="4">
        <f>'05_Scenarios'!F43</f>
        <v>14603952.000000026</v>
      </c>
      <c r="E20" s="1" t="s">
        <v>214</v>
      </c>
    </row>
    <row r="23" spans="1:12" ht="15" customHeight="1" x14ac:dyDescent="0.3">
      <c r="A23" s="29" t="s">
        <v>215</v>
      </c>
      <c r="B23" s="29"/>
      <c r="C23" s="29"/>
      <c r="D23" s="29"/>
      <c r="E23" s="29"/>
      <c r="F23" s="29"/>
      <c r="G23" s="29"/>
      <c r="H23" s="29"/>
      <c r="I23" s="29"/>
      <c r="J23" s="29"/>
      <c r="K23" s="29"/>
    </row>
    <row r="24" spans="1:12" x14ac:dyDescent="0.3">
      <c r="A24" s="3" t="s">
        <v>23</v>
      </c>
      <c r="B24" s="27">
        <v>0.5</v>
      </c>
      <c r="C24" s="27">
        <v>0.6</v>
      </c>
      <c r="D24" s="27">
        <v>0.7</v>
      </c>
      <c r="E24" s="27">
        <v>0.75</v>
      </c>
      <c r="F24" s="27">
        <v>0.8</v>
      </c>
      <c r="G24" s="27">
        <v>0.9</v>
      </c>
      <c r="H24" s="27">
        <v>1</v>
      </c>
      <c r="I24" s="3"/>
      <c r="J24" s="3"/>
      <c r="K24" s="3"/>
      <c r="L24" s="3"/>
    </row>
    <row r="25" spans="1:12" x14ac:dyDescent="0.3">
      <c r="A25" s="1" t="s">
        <v>213</v>
      </c>
      <c r="B25" s="4">
        <f>'05_Scenarios'!E42*B24</f>
        <v>6151040.0000000224</v>
      </c>
      <c r="C25" s="4">
        <f>'05_Scenarios'!E42*C24</f>
        <v>7381248.000000027</v>
      </c>
      <c r="D25" s="4">
        <f>'05_Scenarios'!E42*D24</f>
        <v>8611456.0000000317</v>
      </c>
      <c r="E25" s="4">
        <f>'05_Scenarios'!E42*E24</f>
        <v>9226560.0000000335</v>
      </c>
      <c r="F25" s="4">
        <f>'05_Scenarios'!E42*F24</f>
        <v>9841664.0000000354</v>
      </c>
      <c r="G25" s="4">
        <f>'05_Scenarios'!E42*G24</f>
        <v>11071872.000000041</v>
      </c>
      <c r="H25" s="4">
        <f>'05_Scenarios'!E42*H24</f>
        <v>12302080.000000045</v>
      </c>
    </row>
    <row r="28" spans="1:12" ht="15" customHeight="1" x14ac:dyDescent="0.3">
      <c r="A28" s="29" t="s">
        <v>216</v>
      </c>
      <c r="B28" s="29"/>
      <c r="C28" s="29"/>
      <c r="D28" s="29"/>
      <c r="E28" s="29"/>
      <c r="F28" s="29"/>
      <c r="G28" s="29"/>
      <c r="H28" s="29"/>
      <c r="I28" s="29"/>
      <c r="J28" s="29"/>
      <c r="K28" s="29"/>
    </row>
    <row r="29" spans="1:12" x14ac:dyDescent="0.3">
      <c r="A29" s="3" t="s">
        <v>23</v>
      </c>
      <c r="B29" s="27">
        <v>-0.2</v>
      </c>
      <c r="C29" s="27">
        <v>-0.1</v>
      </c>
      <c r="D29" s="27">
        <v>0</v>
      </c>
      <c r="E29" s="27">
        <v>0.1</v>
      </c>
      <c r="F29" s="27">
        <v>0.2</v>
      </c>
      <c r="G29" s="3"/>
      <c r="H29" s="3"/>
      <c r="I29" s="3"/>
      <c r="J29" s="3"/>
      <c r="K29" s="3"/>
      <c r="L29" s="3"/>
    </row>
    <row r="30" spans="1:12" x14ac:dyDescent="0.3">
      <c r="A30" s="1" t="s">
        <v>171</v>
      </c>
      <c r="B30" s="4">
        <f>'05_Scenarios'!E21*(1+B29)</f>
        <v>640000</v>
      </c>
      <c r="C30" s="4">
        <f>'05_Scenarios'!E21*(1+C29)</f>
        <v>720000</v>
      </c>
      <c r="D30" s="4">
        <f>'05_Scenarios'!E21*(1+D29)</f>
        <v>800000</v>
      </c>
      <c r="E30" s="4">
        <f>'05_Scenarios'!E21*(1+E29)</f>
        <v>880000.00000000012</v>
      </c>
      <c r="F30" s="4">
        <f>'05_Scenarios'!E21*(1+F29)</f>
        <v>960000</v>
      </c>
    </row>
    <row r="31" spans="1:12" x14ac:dyDescent="0.3">
      <c r="A31" s="1" t="s">
        <v>177</v>
      </c>
      <c r="B31" s="4">
        <f>'05_Scenarios'!E41-B30</f>
        <v>12462080.000000045</v>
      </c>
      <c r="C31" s="4">
        <f>'05_Scenarios'!E41-C30</f>
        <v>12382080.000000045</v>
      </c>
      <c r="D31" s="4">
        <f>'05_Scenarios'!E41-D30</f>
        <v>12302080.000000045</v>
      </c>
      <c r="E31" s="4">
        <f>'05_Scenarios'!E41-E30</f>
        <v>12222080.000000045</v>
      </c>
      <c r="F31" s="4">
        <f>'05_Scenarios'!E41-F30</f>
        <v>12142080.000000045</v>
      </c>
    </row>
    <row r="32" spans="1:12" x14ac:dyDescent="0.3">
      <c r="A32" s="1" t="s">
        <v>191</v>
      </c>
      <c r="B32" s="25">
        <f>IFERROR(B31/B30,0)</f>
        <v>19.472000000000069</v>
      </c>
      <c r="C32" s="25">
        <f>IFERROR(C31/C30,0)</f>
        <v>17.197333333333397</v>
      </c>
      <c r="D32" s="25">
        <f>IFERROR(D31/D30,0)</f>
        <v>15.377600000000056</v>
      </c>
      <c r="E32" s="25">
        <f>IFERROR(E31/E30,0)</f>
        <v>13.888727272727321</v>
      </c>
      <c r="F32" s="25">
        <f>IFERROR(F31/F30,0)</f>
        <v>12.648000000000046</v>
      </c>
    </row>
    <row r="33" spans="1:11" x14ac:dyDescent="0.3">
      <c r="A33" s="1" t="s">
        <v>195</v>
      </c>
      <c r="B33" s="26">
        <f>IFERROR(B30/(B31/12),0)</f>
        <v>0.61626951520131257</v>
      </c>
      <c r="C33" s="26">
        <f>IFERROR(C30/(C31/12),0)</f>
        <v>0.69778260195378872</v>
      </c>
      <c r="D33" s="26">
        <f>IFERROR(D30/(D31/12),0)</f>
        <v>0.78035584226406951</v>
      </c>
      <c r="E33" s="26">
        <f>IFERROR(E30/(E31/12),0)</f>
        <v>0.86401005393517005</v>
      </c>
      <c r="F33" s="26">
        <f>IFERROR(F30/(F31/12),0)</f>
        <v>0.9487666034155563</v>
      </c>
    </row>
    <row r="36" spans="1:11" ht="15" customHeight="1" x14ac:dyDescent="0.3">
      <c r="A36" s="29" t="s">
        <v>217</v>
      </c>
      <c r="B36" s="29"/>
      <c r="C36" s="29"/>
      <c r="D36" s="29"/>
      <c r="E36" s="29"/>
      <c r="F36" s="29"/>
      <c r="G36" s="29"/>
      <c r="H36" s="29"/>
      <c r="I36" s="29"/>
      <c r="J36" s="29"/>
      <c r="K36" s="29"/>
    </row>
    <row r="37" spans="1:11" ht="28.8" x14ac:dyDescent="0.3">
      <c r="A37" s="1" t="s">
        <v>218</v>
      </c>
      <c r="B37" s="9">
        <v>0.6</v>
      </c>
      <c r="C37" s="9">
        <v>0.7</v>
      </c>
      <c r="D37" s="9">
        <v>0.8</v>
      </c>
      <c r="E37" s="9">
        <v>0.9</v>
      </c>
      <c r="F37" s="9">
        <v>1</v>
      </c>
    </row>
    <row r="38" spans="1:11" x14ac:dyDescent="0.3">
      <c r="A38" s="9">
        <v>-0.1</v>
      </c>
      <c r="B38" s="4">
        <f>('05_Scenarios'!E41*B$37-'05_Scenarios'!E21*(1+$A38))*'05_Scenarios'!E23</f>
        <v>5355936.0000000196</v>
      </c>
      <c r="C38" s="4">
        <f>('05_Scenarios'!E41*C$37-'05_Scenarios'!E21*(1+$A38))*'05_Scenarios'!E23</f>
        <v>6338592.0000000224</v>
      </c>
      <c r="D38" s="4">
        <f>('05_Scenarios'!E41*D$37-'05_Scenarios'!E21*(1+$A38))*'05_Scenarios'!E23</f>
        <v>7321248.0000000279</v>
      </c>
      <c r="E38" s="4">
        <f>('05_Scenarios'!E41*E$37-'05_Scenarios'!E21*(1+$A38))*'05_Scenarios'!E23</f>
        <v>8303904.0000000307</v>
      </c>
      <c r="F38" s="4">
        <f>('05_Scenarios'!E41*F$37-'05_Scenarios'!E21*(1+$A38))*'05_Scenarios'!E23</f>
        <v>9286560.0000000335</v>
      </c>
    </row>
    <row r="39" spans="1:11" x14ac:dyDescent="0.3">
      <c r="A39" s="9">
        <v>0</v>
      </c>
      <c r="B39" s="4">
        <f>('05_Scenarios'!E41*B$37-'05_Scenarios'!E21*(1+$A39))*'05_Scenarios'!E23</f>
        <v>5295936.0000000196</v>
      </c>
      <c r="C39" s="4">
        <f>('05_Scenarios'!E41*C$37-'05_Scenarios'!E21*(1+$A39))*'05_Scenarios'!E23</f>
        <v>6278592.0000000224</v>
      </c>
      <c r="D39" s="4">
        <f>('05_Scenarios'!E41*D$37-'05_Scenarios'!E21*(1+$A39))*'05_Scenarios'!E23</f>
        <v>7261248.0000000279</v>
      </c>
      <c r="E39" s="4">
        <f>('05_Scenarios'!E41*E$37-'05_Scenarios'!E21*(1+$A39))*'05_Scenarios'!E23</f>
        <v>8243904.0000000307</v>
      </c>
      <c r="F39" s="4">
        <f>('05_Scenarios'!E41*F$37-'05_Scenarios'!E21*(1+$A39))*'05_Scenarios'!E23</f>
        <v>9226560.0000000335</v>
      </c>
    </row>
    <row r="40" spans="1:11" x14ac:dyDescent="0.3">
      <c r="A40" s="9">
        <v>0.1</v>
      </c>
      <c r="B40" s="4">
        <f>('05_Scenarios'!E41*B$37-'05_Scenarios'!E21*(1+$A40))*'05_Scenarios'!E23</f>
        <v>5235936.0000000196</v>
      </c>
      <c r="C40" s="4">
        <f>('05_Scenarios'!E41*C$37-'05_Scenarios'!E21*(1+$A40))*'05_Scenarios'!E23</f>
        <v>6218592.0000000224</v>
      </c>
      <c r="D40" s="4">
        <f>('05_Scenarios'!E41*D$37-'05_Scenarios'!E21*(1+$A40))*'05_Scenarios'!E23</f>
        <v>7201248.0000000279</v>
      </c>
      <c r="E40" s="4">
        <f>('05_Scenarios'!E41*E$37-'05_Scenarios'!E21*(1+$A40))*'05_Scenarios'!E23</f>
        <v>8183904.0000000307</v>
      </c>
      <c r="F40" s="4">
        <f>('05_Scenarios'!E41*F$37-'05_Scenarios'!E21*(1+$A40))*'05_Scenarios'!E23</f>
        <v>9166560.0000000335</v>
      </c>
    </row>
    <row r="41" spans="1:11" x14ac:dyDescent="0.3">
      <c r="A41" s="9">
        <v>0.2</v>
      </c>
      <c r="B41" s="4">
        <f>('05_Scenarios'!E41*B$37-'05_Scenarios'!E21*(1+$A41))*'05_Scenarios'!E23</f>
        <v>5175936.0000000196</v>
      </c>
      <c r="C41" s="4">
        <f>('05_Scenarios'!E41*C$37-'05_Scenarios'!E21*(1+$A41))*'05_Scenarios'!E23</f>
        <v>6158592.0000000224</v>
      </c>
      <c r="D41" s="4">
        <f>('05_Scenarios'!E41*D$37-'05_Scenarios'!E21*(1+$A41))*'05_Scenarios'!E23</f>
        <v>7141248.0000000279</v>
      </c>
      <c r="E41" s="4">
        <f>('05_Scenarios'!E41*E$37-'05_Scenarios'!E21*(1+$A41))*'05_Scenarios'!E23</f>
        <v>8123904.0000000307</v>
      </c>
      <c r="F41" s="4">
        <f>('05_Scenarios'!E41*F$37-'05_Scenarios'!E21*(1+$A41))*'05_Scenarios'!E23</f>
        <v>9106560.0000000335</v>
      </c>
    </row>
    <row r="42" spans="1:11" x14ac:dyDescent="0.3">
      <c r="A42" s="9">
        <v>0.3</v>
      </c>
      <c r="B42" s="4">
        <f>('05_Scenarios'!E41*B$37-'05_Scenarios'!E21*(1+$A42))*'05_Scenarios'!E23</f>
        <v>5115936.0000000196</v>
      </c>
      <c r="C42" s="4">
        <f>('05_Scenarios'!E41*C$37-'05_Scenarios'!E21*(1+$A42))*'05_Scenarios'!E23</f>
        <v>6098592.0000000224</v>
      </c>
      <c r="D42" s="4">
        <f>('05_Scenarios'!E41*D$37-'05_Scenarios'!E21*(1+$A42))*'05_Scenarios'!E23</f>
        <v>7081248.0000000279</v>
      </c>
      <c r="E42" s="4">
        <f>('05_Scenarios'!E41*E$37-'05_Scenarios'!E21*(1+$A42))*'05_Scenarios'!E23</f>
        <v>8063904.0000000307</v>
      </c>
      <c r="F42" s="4">
        <f>('05_Scenarios'!E41*F$37-'05_Scenarios'!E21*(1+$A42))*'05_Scenarios'!E23</f>
        <v>9046560.0000000335</v>
      </c>
    </row>
    <row r="44" spans="1:11" ht="15" customHeight="1" x14ac:dyDescent="0.3">
      <c r="A44" s="1" t="s">
        <v>75</v>
      </c>
      <c r="B44" s="28" t="s">
        <v>219</v>
      </c>
      <c r="C44" s="28"/>
      <c r="D44" s="28"/>
      <c r="E44" s="28"/>
      <c r="F44" s="28"/>
      <c r="G44" s="28"/>
      <c r="H44" s="28"/>
      <c r="I44" s="28"/>
      <c r="J44" s="28"/>
      <c r="K44" s="28"/>
    </row>
    <row r="45" spans="1:11" x14ac:dyDescent="0.3">
      <c r="B45" s="28"/>
      <c r="C45" s="28"/>
      <c r="D45" s="28"/>
      <c r="E45" s="28"/>
      <c r="F45" s="28"/>
      <c r="G45" s="28"/>
      <c r="H45" s="28"/>
      <c r="I45" s="28"/>
      <c r="J45" s="28"/>
      <c r="K45" s="28"/>
    </row>
    <row r="46" spans="1:11" x14ac:dyDescent="0.3">
      <c r="B46" s="28"/>
      <c r="C46" s="28"/>
      <c r="D46" s="28"/>
      <c r="E46" s="28"/>
      <c r="F46" s="28"/>
      <c r="G46" s="28"/>
      <c r="H46" s="28"/>
      <c r="I46" s="28"/>
      <c r="J46" s="28"/>
      <c r="K46" s="28"/>
    </row>
  </sheetData>
  <mergeCells count="5">
    <mergeCell ref="A1:K1"/>
    <mergeCell ref="A23:K23"/>
    <mergeCell ref="A28:K28"/>
    <mergeCell ref="A36:K36"/>
    <mergeCell ref="B44:K46"/>
  </mergeCells>
  <pageMargins left="0.7" right="0.7" top="0.75" bottom="0.75" header="0.3" footer="0.3"/>
  <drawing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6"/>
  <sheetViews>
    <sheetView showGridLines="0" workbookViewId="0">
      <selection activeCell="F39" sqref="F39"/>
    </sheetView>
  </sheetViews>
  <sheetFormatPr defaultColWidth="8.6640625" defaultRowHeight="14.4" x14ac:dyDescent="0.3"/>
  <cols>
    <col min="1" max="1" width="11" customWidth="1"/>
    <col min="2" max="2" width="34" customWidth="1"/>
    <col min="3" max="3" width="26" customWidth="1"/>
    <col min="4" max="4" width="42" customWidth="1"/>
    <col min="5" max="5" width="24" customWidth="1"/>
    <col min="6" max="6" width="25" customWidth="1"/>
    <col min="7" max="9" width="19" customWidth="1"/>
    <col min="10" max="10" width="18" customWidth="1"/>
    <col min="11" max="11" width="23" customWidth="1"/>
    <col min="12" max="12" width="15" customWidth="1"/>
    <col min="13" max="14" width="19" customWidth="1"/>
    <col min="15" max="15" width="26" customWidth="1"/>
    <col min="16" max="16" width="24" customWidth="1"/>
    <col min="17" max="17" width="16" customWidth="1"/>
    <col min="18" max="18" width="48" customWidth="1"/>
  </cols>
  <sheetData>
    <row r="1" spans="1:18" ht="27.75" customHeight="1" x14ac:dyDescent="0.3">
      <c r="A1" s="30" t="s">
        <v>220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</row>
    <row r="5" spans="1:18" ht="27.6" x14ac:dyDescent="0.3">
      <c r="A5" s="3" t="s">
        <v>221</v>
      </c>
      <c r="B5" s="3" t="s">
        <v>222</v>
      </c>
      <c r="C5" s="3" t="s">
        <v>223</v>
      </c>
      <c r="D5" s="3" t="s">
        <v>224</v>
      </c>
      <c r="E5" s="3" t="s">
        <v>225</v>
      </c>
      <c r="F5" s="3" t="s">
        <v>226</v>
      </c>
      <c r="G5" s="3" t="s">
        <v>227</v>
      </c>
      <c r="H5" s="3" t="s">
        <v>228</v>
      </c>
      <c r="I5" s="3" t="s">
        <v>229</v>
      </c>
      <c r="J5" s="3" t="s">
        <v>230</v>
      </c>
      <c r="K5" s="3" t="s">
        <v>231</v>
      </c>
      <c r="L5" s="3" t="s">
        <v>232</v>
      </c>
      <c r="M5" s="3" t="s">
        <v>233</v>
      </c>
      <c r="N5" s="3" t="s">
        <v>234</v>
      </c>
      <c r="O5" s="3" t="s">
        <v>235</v>
      </c>
      <c r="P5" s="3" t="s">
        <v>236</v>
      </c>
      <c r="Q5" s="3" t="s">
        <v>16</v>
      </c>
      <c r="R5" s="3" t="s">
        <v>237</v>
      </c>
    </row>
    <row r="6" spans="1:18" ht="28.8" x14ac:dyDescent="0.3">
      <c r="A6" s="1" t="s">
        <v>238</v>
      </c>
      <c r="B6" s="1" t="s">
        <v>239</v>
      </c>
      <c r="C6" s="1" t="s">
        <v>240</v>
      </c>
      <c r="D6" s="1" t="s">
        <v>241</v>
      </c>
      <c r="E6" s="1" t="s">
        <v>242</v>
      </c>
      <c r="F6" s="1" t="s">
        <v>243</v>
      </c>
      <c r="G6" s="10">
        <f>'05_Scenarios'!E41</f>
        <v>13102080.000000045</v>
      </c>
      <c r="H6" s="10">
        <f>'05_Scenarios'!E21</f>
        <v>800000</v>
      </c>
      <c r="I6" s="10">
        <f>'05_Scenarios'!E42</f>
        <v>12302080.000000045</v>
      </c>
      <c r="J6" s="7">
        <v>0</v>
      </c>
      <c r="K6" s="7">
        <v>0</v>
      </c>
      <c r="L6" s="24">
        <v>0.75</v>
      </c>
      <c r="M6" s="4">
        <f>(J6-K6)*L6</f>
        <v>0</v>
      </c>
      <c r="N6" s="7">
        <v>0</v>
      </c>
      <c r="O6" s="1" t="s">
        <v>244</v>
      </c>
      <c r="P6" s="1" t="s">
        <v>245</v>
      </c>
      <c r="Q6" s="1" t="s">
        <v>100</v>
      </c>
      <c r="R6" s="1" t="s">
        <v>246</v>
      </c>
    </row>
  </sheetData>
  <mergeCells count="1">
    <mergeCell ref="A1:R1"/>
  </mergeCells>
  <pageMargins left="0.7" right="0.7" top="0.75" bottom="0.75" header="0.3" footer="0.3"/>
  <drawing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33"/>
  <sheetViews>
    <sheetView showGridLines="0" workbookViewId="0">
      <selection activeCell="D8" sqref="D8"/>
    </sheetView>
  </sheetViews>
  <sheetFormatPr defaultColWidth="8.6640625" defaultRowHeight="14.4" x14ac:dyDescent="0.3"/>
  <cols>
    <col min="1" max="1" width="30" customWidth="1"/>
    <col min="2" max="2" width="22" customWidth="1"/>
    <col min="3" max="3" width="20" customWidth="1"/>
    <col min="4" max="4" width="22" customWidth="1"/>
    <col min="5" max="8" width="18" customWidth="1"/>
  </cols>
  <sheetData>
    <row r="1" spans="1:8" ht="27.75" customHeight="1" x14ac:dyDescent="0.3">
      <c r="A1" s="30" t="s">
        <v>247</v>
      </c>
      <c r="B1" s="30"/>
      <c r="C1" s="30"/>
      <c r="D1" s="30"/>
      <c r="E1" s="30"/>
      <c r="F1" s="30"/>
      <c r="G1" s="30"/>
      <c r="H1" s="30"/>
    </row>
    <row r="3" spans="1:8" ht="15" customHeight="1" x14ac:dyDescent="0.3">
      <c r="A3" s="29" t="s">
        <v>248</v>
      </c>
      <c r="B3" s="29"/>
      <c r="C3" s="29"/>
      <c r="D3" s="29"/>
      <c r="E3" s="29"/>
      <c r="F3" s="29"/>
      <c r="G3" s="29"/>
      <c r="H3" s="29"/>
    </row>
    <row r="4" spans="1:8" ht="15" customHeight="1" x14ac:dyDescent="0.3">
      <c r="A4" s="31" t="s">
        <v>249</v>
      </c>
      <c r="B4" s="31"/>
      <c r="C4" s="31"/>
      <c r="D4" s="31"/>
      <c r="E4" s="31"/>
      <c r="F4" s="31"/>
      <c r="G4" s="31"/>
      <c r="H4" s="31"/>
    </row>
    <row r="6" spans="1:8" ht="15" customHeight="1" x14ac:dyDescent="0.3">
      <c r="A6" s="29" t="s">
        <v>250</v>
      </c>
      <c r="B6" s="29"/>
      <c r="C6" s="29"/>
      <c r="D6" s="29"/>
      <c r="E6" s="29"/>
      <c r="F6" s="29"/>
      <c r="G6" s="29"/>
      <c r="H6" s="29"/>
    </row>
    <row r="7" spans="1:8" x14ac:dyDescent="0.3">
      <c r="A7" s="1" t="s">
        <v>251</v>
      </c>
      <c r="B7" s="4">
        <f>'02_P&amp;L Variance'!D10</f>
        <v>27940000</v>
      </c>
      <c r="C7" s="1" t="s">
        <v>252</v>
      </c>
      <c r="D7" s="4">
        <f>'02_P&amp;L Variance'!F10</f>
        <v>-60000</v>
      </c>
    </row>
    <row r="8" spans="1:8" x14ac:dyDescent="0.3">
      <c r="A8" s="1" t="s">
        <v>253</v>
      </c>
      <c r="B8" s="4">
        <f>'02_P&amp;L Variance'!D24</f>
        <v>9300000</v>
      </c>
      <c r="C8" s="1" t="s">
        <v>252</v>
      </c>
      <c r="D8" s="4">
        <f>'02_P&amp;L Variance'!F24</f>
        <v>-1500000</v>
      </c>
    </row>
    <row r="10" spans="1:8" ht="15" customHeight="1" x14ac:dyDescent="0.3">
      <c r="A10" s="29" t="s">
        <v>254</v>
      </c>
      <c r="B10" s="29"/>
      <c r="C10" s="29"/>
      <c r="D10" s="29"/>
      <c r="E10" s="29"/>
      <c r="F10" s="29"/>
      <c r="G10" s="29"/>
      <c r="H10" s="29"/>
    </row>
    <row r="11" spans="1:8" x14ac:dyDescent="0.3">
      <c r="A11" s="1" t="s">
        <v>93</v>
      </c>
      <c r="B11" s="9">
        <f>'02_P&amp;L Variance'!D25</f>
        <v>0.33285612025769507</v>
      </c>
      <c r="C11" s="1" t="s">
        <v>25</v>
      </c>
      <c r="D11" s="9">
        <f>'02_P&amp;L Variance'!C25</f>
        <v>0.38571428571428573</v>
      </c>
    </row>
    <row r="12" spans="1:8" x14ac:dyDescent="0.3">
      <c r="A12" s="1" t="s">
        <v>70</v>
      </c>
      <c r="B12" s="6">
        <f>'01_Inputs KPIs'!D24</f>
        <v>88</v>
      </c>
      <c r="C12" s="1" t="s">
        <v>235</v>
      </c>
      <c r="D12" s="6">
        <f>'05_Scenarios'!E24</f>
        <v>88</v>
      </c>
    </row>
    <row r="14" spans="1:8" ht="15" customHeight="1" x14ac:dyDescent="0.3">
      <c r="A14" s="29" t="s">
        <v>255</v>
      </c>
      <c r="B14" s="29"/>
      <c r="C14" s="29"/>
      <c r="D14" s="29"/>
      <c r="E14" s="29"/>
      <c r="F14" s="29"/>
      <c r="G14" s="29"/>
      <c r="H14" s="29"/>
    </row>
    <row r="15" spans="1:8" ht="15" customHeight="1" x14ac:dyDescent="0.3">
      <c r="A15" s="28" t="s">
        <v>256</v>
      </c>
      <c r="B15" s="28"/>
      <c r="C15" s="28"/>
      <c r="D15" s="28"/>
      <c r="E15" s="28"/>
      <c r="F15" s="28"/>
      <c r="G15" s="28"/>
      <c r="H15" s="28"/>
    </row>
    <row r="16" spans="1:8" ht="15" customHeight="1" x14ac:dyDescent="0.3">
      <c r="A16" s="28" t="s">
        <v>257</v>
      </c>
      <c r="B16" s="28"/>
      <c r="C16" s="28"/>
      <c r="D16" s="28"/>
      <c r="E16" s="28"/>
      <c r="F16" s="28"/>
      <c r="G16" s="28"/>
      <c r="H16" s="28"/>
    </row>
    <row r="17" spans="1:8" ht="15" customHeight="1" x14ac:dyDescent="0.3">
      <c r="A17" s="28" t="s">
        <v>258</v>
      </c>
      <c r="B17" s="28"/>
      <c r="C17" s="28"/>
      <c r="D17" s="28"/>
      <c r="E17" s="28"/>
      <c r="F17" s="28"/>
      <c r="G17" s="28"/>
      <c r="H17" s="28"/>
    </row>
    <row r="19" spans="1:8" ht="15" customHeight="1" x14ac:dyDescent="0.3">
      <c r="A19" s="29" t="s">
        <v>259</v>
      </c>
      <c r="B19" s="29"/>
      <c r="C19" s="29"/>
      <c r="D19" s="29"/>
      <c r="E19" s="29"/>
      <c r="F19" s="29"/>
      <c r="G19" s="29"/>
      <c r="H19" s="29"/>
    </row>
    <row r="20" spans="1:8" ht="15" customHeight="1" x14ac:dyDescent="0.3">
      <c r="A20" s="28" t="s">
        <v>260</v>
      </c>
      <c r="B20" s="28"/>
      <c r="C20" s="28"/>
      <c r="D20" s="28"/>
      <c r="E20" s="28"/>
      <c r="F20" s="28"/>
      <c r="G20" s="28"/>
      <c r="H20" s="28"/>
    </row>
    <row r="21" spans="1:8" ht="15" customHeight="1" x14ac:dyDescent="0.3">
      <c r="A21" s="28" t="s">
        <v>261</v>
      </c>
      <c r="B21" s="28"/>
      <c r="C21" s="28"/>
      <c r="D21" s="28"/>
      <c r="E21" s="28"/>
      <c r="F21" s="28"/>
      <c r="G21" s="28"/>
      <c r="H21" s="28"/>
    </row>
    <row r="22" spans="1:8" ht="15" customHeight="1" x14ac:dyDescent="0.3">
      <c r="A22" s="28" t="s">
        <v>262</v>
      </c>
      <c r="B22" s="28"/>
      <c r="C22" s="28"/>
      <c r="D22" s="28"/>
      <c r="E22" s="28"/>
      <c r="F22" s="28"/>
      <c r="G22" s="28"/>
      <c r="H22" s="28"/>
    </row>
    <row r="24" spans="1:8" ht="15" customHeight="1" x14ac:dyDescent="0.3">
      <c r="A24" s="29" t="s">
        <v>263</v>
      </c>
      <c r="B24" s="29"/>
      <c r="C24" s="29"/>
      <c r="D24" s="29"/>
      <c r="E24" s="29"/>
      <c r="F24" s="29"/>
      <c r="G24" s="29"/>
      <c r="H24" s="29"/>
    </row>
    <row r="25" spans="1:8" x14ac:dyDescent="0.3">
      <c r="A25" s="1" t="s">
        <v>264</v>
      </c>
      <c r="B25" s="4">
        <f>'05_Scenarios'!E42</f>
        <v>12302080.000000045</v>
      </c>
      <c r="C25" s="1" t="s">
        <v>265</v>
      </c>
      <c r="D25" s="4">
        <f>'05_Scenarios'!E43</f>
        <v>9226560.0000000335</v>
      </c>
    </row>
    <row r="26" spans="1:8" x14ac:dyDescent="0.3">
      <c r="A26" s="1" t="s">
        <v>191</v>
      </c>
      <c r="B26" s="25">
        <f>'06_Returns Sensitivity'!C9</f>
        <v>15.377600000000056</v>
      </c>
      <c r="C26" s="1" t="s">
        <v>195</v>
      </c>
      <c r="D26" s="26">
        <f>'06_Returns Sensitivity'!C11</f>
        <v>0.78035584226406951</v>
      </c>
    </row>
    <row r="27" spans="1:8" x14ac:dyDescent="0.3">
      <c r="A27" s="1" t="s">
        <v>211</v>
      </c>
      <c r="B27" s="4">
        <f>'06_Returns Sensitivity'!C19</f>
        <v>27079370.827617839</v>
      </c>
      <c r="C27" s="1" t="s">
        <v>235</v>
      </c>
      <c r="D27" s="1" t="str">
        <f>'05_Scenarios'!E44</f>
        <v>PASS</v>
      </c>
    </row>
    <row r="30" spans="1:8" ht="15" customHeight="1" x14ac:dyDescent="0.3">
      <c r="A30" s="29" t="s">
        <v>266</v>
      </c>
      <c r="B30" s="29"/>
      <c r="C30" s="29"/>
      <c r="D30" s="29"/>
      <c r="E30" s="29"/>
      <c r="F30" s="29"/>
      <c r="G30" s="29"/>
      <c r="H30" s="29"/>
    </row>
    <row r="31" spans="1:8" ht="15" customHeight="1" x14ac:dyDescent="0.3">
      <c r="A31" s="32" t="s">
        <v>267</v>
      </c>
      <c r="B31" s="32"/>
      <c r="C31" s="32"/>
      <c r="D31" s="32"/>
      <c r="E31" s="32"/>
      <c r="F31" s="32"/>
      <c r="G31" s="32"/>
      <c r="H31" s="32"/>
    </row>
    <row r="32" spans="1:8" x14ac:dyDescent="0.3">
      <c r="A32" s="32"/>
      <c r="B32" s="32"/>
      <c r="C32" s="32"/>
      <c r="D32" s="32"/>
      <c r="E32" s="32"/>
      <c r="F32" s="32"/>
      <c r="G32" s="32"/>
      <c r="H32" s="32"/>
    </row>
    <row r="33" spans="1:8" x14ac:dyDescent="0.3">
      <c r="A33" s="32"/>
      <c r="B33" s="32"/>
      <c r="C33" s="32"/>
      <c r="D33" s="32"/>
      <c r="E33" s="32"/>
      <c r="F33" s="32"/>
      <c r="G33" s="32"/>
      <c r="H33" s="32"/>
    </row>
  </sheetData>
  <mergeCells count="16">
    <mergeCell ref="A31:H33"/>
    <mergeCell ref="A20:H20"/>
    <mergeCell ref="A21:H21"/>
    <mergeCell ref="A22:H22"/>
    <mergeCell ref="A24:H24"/>
    <mergeCell ref="A30:H30"/>
    <mergeCell ref="A14:H14"/>
    <mergeCell ref="A15:H15"/>
    <mergeCell ref="A16:H16"/>
    <mergeCell ref="A17:H17"/>
    <mergeCell ref="A19:H19"/>
    <mergeCell ref="A1:H1"/>
    <mergeCell ref="A3:H3"/>
    <mergeCell ref="A4:H4"/>
    <mergeCell ref="A6:H6"/>
    <mergeCell ref="A10:H10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15"/>
  <sheetViews>
    <sheetView showGridLines="0" workbookViewId="0">
      <selection activeCell="I9" sqref="I9"/>
    </sheetView>
  </sheetViews>
  <sheetFormatPr defaultColWidth="8.6640625" defaultRowHeight="14.4" x14ac:dyDescent="0.3"/>
  <cols>
    <col min="1" max="1" width="24" customWidth="1"/>
    <col min="2" max="2" width="43" customWidth="1"/>
    <col min="3" max="3" width="38" customWidth="1"/>
    <col min="4" max="4" width="27" customWidth="1"/>
    <col min="5" max="5" width="43" customWidth="1"/>
    <col min="6" max="6" width="55" customWidth="1"/>
  </cols>
  <sheetData>
    <row r="1" spans="1:6" ht="27.75" customHeight="1" x14ac:dyDescent="0.3">
      <c r="A1" s="30" t="s">
        <v>268</v>
      </c>
      <c r="B1" s="30"/>
      <c r="C1" s="30"/>
      <c r="D1" s="30"/>
      <c r="E1" s="30"/>
      <c r="F1" s="30"/>
    </row>
    <row r="4" spans="1:6" x14ac:dyDescent="0.3">
      <c r="A4" s="3" t="s">
        <v>269</v>
      </c>
      <c r="B4" s="3" t="s">
        <v>270</v>
      </c>
      <c r="C4" s="3" t="s">
        <v>271</v>
      </c>
      <c r="D4" s="3" t="s">
        <v>272</v>
      </c>
      <c r="E4" s="3" t="s">
        <v>183</v>
      </c>
      <c r="F4" s="3" t="s">
        <v>273</v>
      </c>
    </row>
    <row r="5" spans="1:6" ht="57.75" customHeight="1" x14ac:dyDescent="0.3">
      <c r="A5" s="1" t="s">
        <v>76</v>
      </c>
      <c r="B5" s="1" t="s">
        <v>78</v>
      </c>
      <c r="C5" s="1" t="s">
        <v>274</v>
      </c>
      <c r="D5" s="1" t="s">
        <v>275</v>
      </c>
      <c r="E5" s="1" t="s">
        <v>276</v>
      </c>
      <c r="F5" s="1" t="s">
        <v>277</v>
      </c>
    </row>
    <row r="6" spans="1:6" ht="57.75" customHeight="1" x14ac:dyDescent="0.3">
      <c r="A6" s="1" t="s">
        <v>278</v>
      </c>
      <c r="B6" s="1" t="s">
        <v>279</v>
      </c>
      <c r="C6" s="1" t="s">
        <v>280</v>
      </c>
      <c r="D6" s="1" t="s">
        <v>281</v>
      </c>
      <c r="E6" s="1" t="s">
        <v>282</v>
      </c>
      <c r="F6" s="1" t="s">
        <v>283</v>
      </c>
    </row>
    <row r="7" spans="1:6" ht="57.75" customHeight="1" x14ac:dyDescent="0.3">
      <c r="A7" s="1" t="s">
        <v>284</v>
      </c>
      <c r="B7" s="1" t="s">
        <v>285</v>
      </c>
      <c r="C7" s="1" t="s">
        <v>286</v>
      </c>
      <c r="D7" s="1" t="s">
        <v>281</v>
      </c>
      <c r="E7" s="1" t="s">
        <v>287</v>
      </c>
      <c r="F7" s="1" t="s">
        <v>288</v>
      </c>
    </row>
    <row r="8" spans="1:6" ht="57.75" customHeight="1" x14ac:dyDescent="0.3">
      <c r="A8" s="1" t="s">
        <v>289</v>
      </c>
      <c r="B8" s="1" t="s">
        <v>290</v>
      </c>
      <c r="C8" s="1" t="s">
        <v>291</v>
      </c>
      <c r="D8" s="1" t="s">
        <v>281</v>
      </c>
      <c r="E8" s="1" t="s">
        <v>292</v>
      </c>
      <c r="F8" s="1" t="s">
        <v>293</v>
      </c>
    </row>
    <row r="9" spans="1:6" ht="57.75" customHeight="1" x14ac:dyDescent="0.3">
      <c r="A9" s="1" t="s">
        <v>294</v>
      </c>
      <c r="B9" s="1" t="s">
        <v>295</v>
      </c>
      <c r="C9" s="1" t="s">
        <v>296</v>
      </c>
      <c r="D9" s="1" t="s">
        <v>297</v>
      </c>
      <c r="E9" s="1" t="s">
        <v>298</v>
      </c>
      <c r="F9" s="1" t="s">
        <v>299</v>
      </c>
    </row>
    <row r="10" spans="1:6" ht="57.75" customHeight="1" x14ac:dyDescent="0.3">
      <c r="A10" s="1" t="s">
        <v>300</v>
      </c>
      <c r="B10" s="1" t="s">
        <v>301</v>
      </c>
      <c r="C10" s="1" t="s">
        <v>144</v>
      </c>
      <c r="D10" s="1" t="s">
        <v>297</v>
      </c>
      <c r="E10" s="1" t="s">
        <v>302</v>
      </c>
      <c r="F10" s="1" t="s">
        <v>303</v>
      </c>
    </row>
    <row r="11" spans="1:6" ht="57.75" customHeight="1" x14ac:dyDescent="0.3">
      <c r="A11" s="1" t="s">
        <v>304</v>
      </c>
      <c r="B11" s="1" t="s">
        <v>305</v>
      </c>
      <c r="C11" s="1" t="s">
        <v>306</v>
      </c>
      <c r="D11" s="1" t="s">
        <v>307</v>
      </c>
      <c r="E11" s="1" t="s">
        <v>308</v>
      </c>
      <c r="F11" s="1" t="s">
        <v>309</v>
      </c>
    </row>
    <row r="12" spans="1:6" ht="57.75" customHeight="1" x14ac:dyDescent="0.3">
      <c r="A12" s="1" t="s">
        <v>191</v>
      </c>
      <c r="B12" s="1" t="s">
        <v>310</v>
      </c>
      <c r="C12" s="1" t="s">
        <v>311</v>
      </c>
      <c r="D12" s="1" t="s">
        <v>312</v>
      </c>
      <c r="E12" s="1" t="s">
        <v>313</v>
      </c>
      <c r="F12" s="1" t="s">
        <v>314</v>
      </c>
    </row>
    <row r="13" spans="1:6" ht="57.75" customHeight="1" x14ac:dyDescent="0.3">
      <c r="A13" s="1" t="s">
        <v>195</v>
      </c>
      <c r="B13" s="1" t="s">
        <v>315</v>
      </c>
      <c r="C13" s="1" t="s">
        <v>316</v>
      </c>
      <c r="D13" s="1" t="s">
        <v>312</v>
      </c>
      <c r="E13" s="1" t="s">
        <v>317</v>
      </c>
      <c r="F13" s="1" t="s">
        <v>318</v>
      </c>
    </row>
    <row r="14" spans="1:6" ht="57.75" customHeight="1" x14ac:dyDescent="0.3">
      <c r="A14" s="1" t="s">
        <v>211</v>
      </c>
      <c r="B14" s="1" t="s">
        <v>319</v>
      </c>
      <c r="C14" s="1" t="s">
        <v>320</v>
      </c>
      <c r="D14" s="1" t="s">
        <v>312</v>
      </c>
      <c r="E14" s="1" t="s">
        <v>321</v>
      </c>
      <c r="F14" s="1" t="s">
        <v>322</v>
      </c>
    </row>
    <row r="15" spans="1:6" ht="57.75" customHeight="1" x14ac:dyDescent="0.3">
      <c r="A15" s="1" t="s">
        <v>323</v>
      </c>
      <c r="B15" s="1" t="s">
        <v>324</v>
      </c>
      <c r="C15" s="1" t="s">
        <v>325</v>
      </c>
      <c r="D15" s="1" t="s">
        <v>326</v>
      </c>
      <c r="E15" s="1" t="s">
        <v>327</v>
      </c>
      <c r="F15" s="1" t="s">
        <v>328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00_Read Me</vt:lpstr>
      <vt:lpstr>01_Inputs KPIs</vt:lpstr>
      <vt:lpstr>02_P&amp;L Variance</vt:lpstr>
      <vt:lpstr>03_PVM Bridge</vt:lpstr>
      <vt:lpstr>04_Labour Variance</vt:lpstr>
      <vt:lpstr>05_Scenarios</vt:lpstr>
      <vt:lpstr>06_Returns Sensitivity</vt:lpstr>
      <vt:lpstr>07_Benefits Tracker</vt:lpstr>
      <vt:lpstr>08_Executive Summary</vt:lpstr>
      <vt:lpstr>09_Formula 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Jackster</dc:creator>
  <cp:lastModifiedBy>Li Cynthia</cp:lastModifiedBy>
  <dcterms:created xsi:type="dcterms:W3CDTF">2026-09-15T02:09:49Z</dcterms:created>
  <dcterms:modified xsi:type="dcterms:W3CDTF">2026-09-15T02:14:12Z</dcterms:modified>
</cp:coreProperties>
</file>